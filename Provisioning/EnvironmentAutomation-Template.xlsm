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90" windowWidth="8700" windowHeight="7260"/>
  </bookViews>
  <sheets>
    <sheet name="Buttons" sheetId="4" r:id="rId1"/>
    <sheet name="Constants" sheetId="3" r:id="rId2"/>
    <sheet name="Servers" sheetId="7" r:id="rId3"/>
    <sheet name="Disks" sheetId="6" r:id="rId4"/>
    <sheet name="Clones" sheetId="9" r:id="rId5"/>
    <sheet name="Network" sheetId="10" r:id="rId6"/>
    <sheet name="PageFile" sheetId="12" r:id="rId7"/>
    <sheet name="Other" sheetId="11" r:id="rId8"/>
    <sheet name="NetappVols" sheetId="14" r:id="rId9"/>
  </sheets>
  <calcPr calcId="124519"/>
</workbook>
</file>

<file path=xl/calcChain.xml><?xml version="1.0" encoding="utf-8"?>
<calcChain xmlns="http://schemas.openxmlformats.org/spreadsheetml/2006/main">
  <c r="I4" i="6"/>
  <c r="A10" i="11" l="1"/>
  <c r="A4"/>
  <c r="A5"/>
  <c r="A7"/>
  <c r="A8"/>
  <c r="A9"/>
  <c r="A3"/>
  <c r="A4" i="10"/>
  <c r="A5"/>
  <c r="A7"/>
  <c r="A8"/>
  <c r="A9"/>
  <c r="A10"/>
  <c r="A3"/>
  <c r="F5" i="12"/>
  <c r="F9"/>
  <c r="F10"/>
  <c r="F4"/>
  <c r="A9"/>
  <c r="A10"/>
  <c r="A4"/>
  <c r="A5"/>
  <c r="A7"/>
  <c r="A8"/>
  <c r="A3"/>
  <c r="F10" i="14"/>
  <c r="F9"/>
  <c r="F8"/>
  <c r="F7"/>
  <c r="A9" i="6"/>
  <c r="A10"/>
  <c r="A4"/>
  <c r="A5"/>
  <c r="A7"/>
  <c r="A8"/>
  <c r="A3"/>
  <c r="F3" i="14"/>
  <c r="F4"/>
  <c r="F5"/>
  <c r="F6"/>
  <c r="F2"/>
  <c r="Q4"/>
  <c r="Q3"/>
  <c r="Q2" l="1"/>
</calcChain>
</file>

<file path=xl/sharedStrings.xml><?xml version="1.0" encoding="utf-8"?>
<sst xmlns="http://schemas.openxmlformats.org/spreadsheetml/2006/main" count="471" uniqueCount="249">
  <si>
    <t>Type</t>
  </si>
  <si>
    <t>Name</t>
  </si>
  <si>
    <t>Template</t>
  </si>
  <si>
    <t>VirtualCentre</t>
  </si>
  <si>
    <t>10.1.100.90</t>
  </si>
  <si>
    <t>Function</t>
  </si>
  <si>
    <t>Memory Size - MB</t>
  </si>
  <si>
    <t>CPU Count</t>
  </si>
  <si>
    <t>Notes</t>
  </si>
  <si>
    <t>Oracle</t>
  </si>
  <si>
    <t>Virtual</t>
  </si>
  <si>
    <t>Resoure Pool</t>
  </si>
  <si>
    <t>System Datastore</t>
  </si>
  <si>
    <t>Starting Host</t>
  </si>
  <si>
    <t>OS Type</t>
  </si>
  <si>
    <t>Constant</t>
  </si>
  <si>
    <t>Value</t>
  </si>
  <si>
    <t>PageFile Datastore</t>
  </si>
  <si>
    <t>NIC1 VMNetwork</t>
  </si>
  <si>
    <t>108 VLAN - NonProd Common</t>
  </si>
  <si>
    <t>255.255.255.0</t>
  </si>
  <si>
    <t>Windows</t>
  </si>
  <si>
    <t>VM Folder</t>
  </si>
  <si>
    <t>6. Backup and temporary VMs</t>
  </si>
  <si>
    <t>Template Customization To Duplicate</t>
  </si>
  <si>
    <t>OU</t>
  </si>
  <si>
    <t>Yes</t>
  </si>
  <si>
    <t>Join to Domain</t>
  </si>
  <si>
    <t>MFLTEST username</t>
  </si>
  <si>
    <t>mfltest\administrator</t>
  </si>
  <si>
    <t>localadmin username</t>
  </si>
  <si>
    <t>sysmanager</t>
  </si>
  <si>
    <t>esx root</t>
  </si>
  <si>
    <t>root</t>
  </si>
  <si>
    <t>MFLNET username</t>
  </si>
  <si>
    <t>mflnet\mfladm-petergi</t>
  </si>
  <si>
    <t>20 VLAN - NFS Prod</t>
  </si>
  <si>
    <t>PageFile Size (MB)</t>
  </si>
  <si>
    <t>PageFile Additional Drive</t>
  </si>
  <si>
    <t>Total New Drives Count</t>
  </si>
  <si>
    <t>Total Cloned Drives</t>
  </si>
  <si>
    <t>New Drive1 Datastore</t>
  </si>
  <si>
    <t>New Drive1 Size (GB)</t>
  </si>
  <si>
    <t>New Drive2 Datastore</t>
  </si>
  <si>
    <t>New Drive2 Size (GB)</t>
  </si>
  <si>
    <t>New Drive3 Datastore</t>
  </si>
  <si>
    <t>New Drive3 Size (GB)</t>
  </si>
  <si>
    <t>New Drive4 Datastore</t>
  </si>
  <si>
    <t>New Drive4 Size (GB)</t>
  </si>
  <si>
    <t>PageFile Label</t>
  </si>
  <si>
    <t>New Drive1 Label</t>
  </si>
  <si>
    <t>New Drive2 Label</t>
  </si>
  <si>
    <t>New Drive3 Label</t>
  </si>
  <si>
    <t>New Drive4 Label</t>
  </si>
  <si>
    <t>Clone1 Label</t>
  </si>
  <si>
    <t>Clone2 Label</t>
  </si>
  <si>
    <t>Clone1 Path</t>
  </si>
  <si>
    <t>Clone2 Path</t>
  </si>
  <si>
    <t>Clone3 Label</t>
  </si>
  <si>
    <t>Clone3 Path</t>
  </si>
  <si>
    <t>Clone4 Label</t>
  </si>
  <si>
    <t>Clone4 Path</t>
  </si>
  <si>
    <t>PageFile Letter</t>
  </si>
  <si>
    <t>New Drive1 Letter</t>
  </si>
  <si>
    <t>New Drive2 Letter</t>
  </si>
  <si>
    <t>New Drive3 Letter</t>
  </si>
  <si>
    <t>New Drive4 Letter</t>
  </si>
  <si>
    <t>Page Guest Device</t>
  </si>
  <si>
    <t>New Drive1 Guest Device</t>
  </si>
  <si>
    <t>New Drive2 Guest Device</t>
  </si>
  <si>
    <t>New Drive3 Guest Device</t>
  </si>
  <si>
    <t>New Drive4 Guest Device</t>
  </si>
  <si>
    <t>ScriptsDirectory</t>
  </si>
  <si>
    <t>DO NOT Move this Constant to another row</t>
  </si>
  <si>
    <t>Total New NIC Count</t>
  </si>
  <si>
    <t>New NIC1 Label</t>
  </si>
  <si>
    <t>New NIC1 VMNetwork</t>
  </si>
  <si>
    <t>New NIC1 IP</t>
  </si>
  <si>
    <t>New NIC1 Subnet Mask</t>
  </si>
  <si>
    <t>New NIC2 Label</t>
  </si>
  <si>
    <t>New NIC2 IP</t>
  </si>
  <si>
    <t>New NIC2 VMNetwork</t>
  </si>
  <si>
    <t>New NIC2 Subnet Mask</t>
  </si>
  <si>
    <t>New NIC3 Label</t>
  </si>
  <si>
    <t>New NIC3 VMNetwork</t>
  </si>
  <si>
    <t>New NIC3 IP</t>
  </si>
  <si>
    <t>New NIC3 Subnet Mask</t>
  </si>
  <si>
    <t>New NIC4 Label</t>
  </si>
  <si>
    <t>New NIC4 VMNetwork</t>
  </si>
  <si>
    <t>New NIC4 IP</t>
  </si>
  <si>
    <t>New NIC4 Subnet Mask</t>
  </si>
  <si>
    <t>Builtin NIC Label</t>
  </si>
  <si>
    <t>Builtin NIC IP</t>
  </si>
  <si>
    <t>Builtin NIC Subnet Mask</t>
  </si>
  <si>
    <t>Builtin NIC Default Gateway</t>
  </si>
  <si>
    <t>Builtin NIC DNS Server1</t>
  </si>
  <si>
    <t>Builtin NIC DNS Server2</t>
  </si>
  <si>
    <t>NFS</t>
  </si>
  <si>
    <t>Testing Script</t>
  </si>
  <si>
    <t>Linux</t>
  </si>
  <si>
    <t>zcgprvsh43.mfl.co.uk</t>
  </si>
  <si>
    <t>Unbreakable Linux 5.4 x64 Script</t>
  </si>
  <si>
    <t>Script Linux Template MFLTEST</t>
  </si>
  <si>
    <t>PGTest Linux</t>
  </si>
  <si>
    <t>sdb</t>
  </si>
  <si>
    <t>linux root</t>
  </si>
  <si>
    <t>eth0</t>
  </si>
  <si>
    <t>eth1</t>
  </si>
  <si>
    <t>Converts all worksheets to csv file</t>
  </si>
  <si>
    <t xml:space="preserve">Sets all needed credentials and encrypts </t>
  </si>
  <si>
    <t>in working directory</t>
  </si>
  <si>
    <t>Creates all servers in Servers Worksheet</t>
  </si>
  <si>
    <t>which are of type Virtual</t>
  </si>
  <si>
    <t>Adds a page file disk for servers from PageFile Worksheet</t>
  </si>
  <si>
    <t>Adds additional disks for servers from Disks Worksheet</t>
  </si>
  <si>
    <t>Adds cloned disks for servers from the Clones Worksheet</t>
  </si>
  <si>
    <t>Adds additional Network Cards from the Network Worksheet</t>
  </si>
  <si>
    <t>Run after making changes to any worksheet</t>
  </si>
  <si>
    <t>Changes cd drive to z: on windows VMs only. Must be run before adding other disks using d:</t>
  </si>
  <si>
    <t>Partitions and configures the page file and swap disks on windows and linux VMs</t>
  </si>
  <si>
    <t xml:space="preserve">Partitions and formats additional drives required for windows VMs only. </t>
  </si>
  <si>
    <t>Configures all network cards with required ips, dns and gateways on windows and linux VMs</t>
  </si>
  <si>
    <t>Runs all scripts in order of arrow</t>
  </si>
  <si>
    <t>Joins windows VMs only to domain then restarts the guest OS</t>
  </si>
  <si>
    <t>Install AV</t>
  </si>
  <si>
    <t>Usable space required</t>
  </si>
  <si>
    <t>Snap reserve %</t>
  </si>
  <si>
    <t>Volume size (Gb)</t>
  </si>
  <si>
    <t>Access type</t>
  </si>
  <si>
    <t>Filer</t>
  </si>
  <si>
    <t>Aggregate</t>
  </si>
  <si>
    <t>Mounted IPs</t>
  </si>
  <si>
    <t>Mount point</t>
  </si>
  <si>
    <t>NFS Mount options</t>
  </si>
  <si>
    <t>/etc/fstab entry</t>
  </si>
  <si>
    <t>rw,bg,hard,nointr,tcp,vers=3,timeo=600,rsize=32768,wsize=32768 0 0</t>
  </si>
  <si>
    <t>Volume Name</t>
  </si>
  <si>
    <t>ag_tier2_01</t>
  </si>
  <si>
    <t>zcgprsan3n1</t>
  </si>
  <si>
    <t>2. Create Virtual Machines</t>
  </si>
  <si>
    <t>1. Configure Volumes</t>
  </si>
  <si>
    <t>3. VM Hardware</t>
  </si>
  <si>
    <t>Dedup Start Time</t>
  </si>
  <si>
    <t>Dedupe</t>
  </si>
  <si>
    <t>No</t>
  </si>
  <si>
    <t>Mounted on servers</t>
  </si>
  <si>
    <t>Volume Purpose</t>
  </si>
  <si>
    <t>VMWare</t>
  </si>
  <si>
    <t>VMWare Datastore Name</t>
  </si>
  <si>
    <t>192.168.20.247</t>
  </si>
  <si>
    <t>Filer NFS Access IP</t>
  </si>
  <si>
    <t>Creates all volumes in NetappVols Worksheet</t>
  </si>
  <si>
    <t>Sets all required settings for volumes in NetappVols Worksheet</t>
  </si>
  <si>
    <t>Sets the nfs export permissions for NetappVols Worksheet</t>
  </si>
  <si>
    <t>Mounts VMWare volumes onto hosts as listed in NetappVols Worksheet</t>
  </si>
  <si>
    <t>192.168.20.230</t>
  </si>
  <si>
    <t>Linux NFS</t>
  </si>
  <si>
    <t>Configures the fstab files on Mounted Servers for Linux NFS volumes. From NetappVols Worksheet</t>
  </si>
  <si>
    <t>zcgprvsh42.mfl.co.uk</t>
  </si>
  <si>
    <t>W2k3 r2 Ent x32 Script</t>
  </si>
  <si>
    <t>Script Win Template 2003 x32</t>
  </si>
  <si>
    <t>PGTest Win</t>
  </si>
  <si>
    <t>zcgprsan3n2</t>
  </si>
  <si>
    <t>192.168.20.248</t>
  </si>
  <si>
    <t>/oracle1</t>
  </si>
  <si>
    <t>/oracle2</t>
  </si>
  <si>
    <t>/oracle3</t>
  </si>
  <si>
    <t>192.168.20.49:192.168.20.50:192.168.20.51:192.168.20.52:192.168.20.53</t>
  </si>
  <si>
    <t>Win</t>
  </si>
  <si>
    <t>zcgprvsh41.mfl.co.uk</t>
  </si>
  <si>
    <t>zcgprvsh40.mfl.co.uk</t>
  </si>
  <si>
    <t>zcgprvsh44.mfl.co.uk</t>
  </si>
  <si>
    <t>W2k3 r2 Ent x64 Script</t>
  </si>
  <si>
    <t>W2k Advanced Server x32 Script</t>
  </si>
  <si>
    <t>Script Win Template 2003 x64</t>
  </si>
  <si>
    <t>D</t>
  </si>
  <si>
    <t>Data</t>
  </si>
  <si>
    <t>E</t>
  </si>
  <si>
    <t>Logs</t>
  </si>
  <si>
    <t>I</t>
  </si>
  <si>
    <t>Index</t>
  </si>
  <si>
    <t>P</t>
  </si>
  <si>
    <t>Page</t>
  </si>
  <si>
    <t>Public</t>
  </si>
  <si>
    <t>10.1.108.230</t>
  </si>
  <si>
    <t>10.1.108.231</t>
  </si>
  <si>
    <t>10.1.108.232</t>
  </si>
  <si>
    <t>10.1.108.234</t>
  </si>
  <si>
    <t>10.1.108.1</t>
  </si>
  <si>
    <t>10.1.108.150</t>
  </si>
  <si>
    <t>10.1.108.60</t>
  </si>
  <si>
    <t>192.168.20.231</t>
  </si>
  <si>
    <t>dmz</t>
  </si>
  <si>
    <t>192.168.41.2</t>
  </si>
  <si>
    <t>192.168.41.3</t>
  </si>
  <si>
    <t>192.168.20.230:192.168.20.231</t>
  </si>
  <si>
    <t>zcgprvsh40.mfl.co.uk:zcgprvsh41.mfl.co.uk:zcgprvsh42.mfl.co.uk:zcgprvsh43.mfl.co.uk:zcgprvsh44.mfl.co.uk</t>
  </si>
  <si>
    <t>Script Win Template 2000</t>
  </si>
  <si>
    <t>Power On all powered VMs</t>
  </si>
  <si>
    <t>In Servers Worksheet</t>
  </si>
  <si>
    <t>4. Configure VMs - VMs must be powered on</t>
  </si>
  <si>
    <t>MFLTEST</t>
  </si>
  <si>
    <t>sdc</t>
  </si>
  <si>
    <t>/testing</t>
  </si>
  <si>
    <t>petergi@mfl.co.uk</t>
  </si>
  <si>
    <t>vmAutomation@powershell.com</t>
  </si>
  <si>
    <t>10.1.100.32</t>
  </si>
  <si>
    <t>Email To</t>
  </si>
  <si>
    <t>Email From</t>
  </si>
  <si>
    <t>Email Server</t>
  </si>
  <si>
    <t xml:space="preserve">Runs all VMAutomation Scripts </t>
  </si>
  <si>
    <t>Run once before using any other section buttons</t>
  </si>
  <si>
    <t>WorkingDirectory</t>
  </si>
  <si>
    <t>Q:\Technology Service\Infrastructure Support\Technologies and services (per technology or per environment)\Per environment (prod, nonprod etc)\EnvironmentAutomation-ScriptSource</t>
  </si>
  <si>
    <t>P:\EnvironmentAutomation WorkingDir</t>
  </si>
  <si>
    <t>MFLPROD username</t>
  </si>
  <si>
    <t>AutoTest-oracle1</t>
  </si>
  <si>
    <t>AutoTest Systemfiles1 tier2</t>
  </si>
  <si>
    <t>AutoTest-oracle2</t>
  </si>
  <si>
    <t>AutoTest-win2k3</t>
  </si>
  <si>
    <t>AutoTest-x64sql</t>
  </si>
  <si>
    <t>AutoTest-win2k</t>
  </si>
  <si>
    <t>AutoTest datafiles1 tier2</t>
  </si>
  <si>
    <t>AutoTest SQL Data</t>
  </si>
  <si>
    <t>AutoTest SQL Logs</t>
  </si>
  <si>
    <t>AutoTest SQL Index</t>
  </si>
  <si>
    <t>AutoTest Pagefiles1 tier2</t>
  </si>
  <si>
    <t>v_AutoTest_oracle1</t>
  </si>
  <si>
    <t>AutoTest-oracle1:AutoTest-oracle2</t>
  </si>
  <si>
    <t>v_AutoTest_oracle2</t>
  </si>
  <si>
    <t>v_AutoTest_oracle3</t>
  </si>
  <si>
    <t>v_AutoTest_system</t>
  </si>
  <si>
    <t>v_AutoTest_page</t>
  </si>
  <si>
    <t>v_AutoTest_sqldata</t>
  </si>
  <si>
    <t>v_AutoTest_sqllogs</t>
  </si>
  <si>
    <t>v_AutoTest_sqlindex</t>
  </si>
  <si>
    <t>AutoTest SQL index</t>
  </si>
  <si>
    <t>v_AutoTest_datafile</t>
  </si>
  <si>
    <t>10.1.108.235</t>
  </si>
  <si>
    <t>RHEL 4.6 x64 Script</t>
  </si>
  <si>
    <t>"OU=Servers,OU=AutoTest"</t>
  </si>
  <si>
    <t>Automation Status</t>
  </si>
  <si>
    <t>Active</t>
  </si>
  <si>
    <t>Installs agents and guest software into VMs and add dns A records for linux servers</t>
  </si>
  <si>
    <t>AV Path</t>
  </si>
  <si>
    <t>Install B-Exec</t>
  </si>
  <si>
    <t>B-exec Path</t>
  </si>
  <si>
    <t>Off</t>
  </si>
  <si>
    <t>Set boot.ini to 5 seconds</t>
  </si>
</sst>
</file>

<file path=xl/styles.xml><?xml version="1.0" encoding="utf-8"?>
<styleSheet xmlns="http://schemas.openxmlformats.org/spreadsheetml/2006/main"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24"/>
      <color theme="1"/>
      <name val="Calibri"/>
      <family val="2"/>
      <scheme val="minor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63">
    <xf numFmtId="0" fontId="0" fillId="0" borderId="0" xfId="0"/>
    <xf numFmtId="0" fontId="18" fillId="33" borderId="10" xfId="0" applyFont="1" applyFill="1" applyBorder="1" applyAlignment="1">
      <alignment horizontal="center" wrapText="1"/>
    </xf>
    <xf numFmtId="0" fontId="19" fillId="34" borderId="11" xfId="0" applyFont="1" applyFill="1" applyBorder="1"/>
    <xf numFmtId="0" fontId="20" fillId="34" borderId="11" xfId="0" applyFont="1" applyFill="1" applyBorder="1"/>
    <xf numFmtId="0" fontId="20" fillId="34" borderId="11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right"/>
    </xf>
    <xf numFmtId="0" fontId="21" fillId="0" borderId="0" xfId="0" applyFont="1" applyFill="1" applyBorder="1" applyAlignment="1">
      <alignment horizontal="left" wrapText="1"/>
    </xf>
    <xf numFmtId="0" fontId="0" fillId="0" borderId="0" xfId="0" applyFill="1" applyBorder="1"/>
    <xf numFmtId="0" fontId="19" fillId="0" borderId="0" xfId="0" applyFont="1" applyBorder="1"/>
    <xf numFmtId="0" fontId="0" fillId="0" borderId="0" xfId="0" applyBorder="1"/>
    <xf numFmtId="0" fontId="21" fillId="0" borderId="0" xfId="0" applyFont="1" applyFill="1" applyBorder="1" applyAlignment="1">
      <alignment horizontal="center" wrapText="1"/>
    </xf>
    <xf numFmtId="0" fontId="20" fillId="0" borderId="0" xfId="0" applyFont="1" applyFill="1" applyBorder="1"/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right"/>
    </xf>
    <xf numFmtId="49" fontId="0" fillId="0" borderId="0" xfId="0" applyNumberFormat="1"/>
    <xf numFmtId="0" fontId="0" fillId="35" borderId="13" xfId="0" applyFill="1" applyBorder="1"/>
    <xf numFmtId="0" fontId="0" fillId="35" borderId="14" xfId="0" applyFill="1" applyBorder="1"/>
    <xf numFmtId="0" fontId="0" fillId="35" borderId="15" xfId="0" applyFill="1" applyBorder="1"/>
    <xf numFmtId="0" fontId="0" fillId="35" borderId="0" xfId="0" applyFill="1" applyBorder="1"/>
    <xf numFmtId="0" fontId="0" fillId="35" borderId="16" xfId="0" applyFill="1" applyBorder="1"/>
    <xf numFmtId="0" fontId="0" fillId="36" borderId="13" xfId="0" applyFill="1" applyBorder="1"/>
    <xf numFmtId="0" fontId="0" fillId="36" borderId="14" xfId="0" applyFill="1" applyBorder="1"/>
    <xf numFmtId="0" fontId="0" fillId="36" borderId="15" xfId="0" applyFill="1" applyBorder="1"/>
    <xf numFmtId="0" fontId="0" fillId="36" borderId="0" xfId="0" applyFill="1" applyBorder="1"/>
    <xf numFmtId="0" fontId="0" fillId="36" borderId="16" xfId="0" applyFill="1" applyBorder="1"/>
    <xf numFmtId="0" fontId="0" fillId="36" borderId="17" xfId="0" applyFill="1" applyBorder="1"/>
    <xf numFmtId="0" fontId="0" fillId="36" borderId="18" xfId="0" applyFill="1" applyBorder="1"/>
    <xf numFmtId="0" fontId="0" fillId="36" borderId="19" xfId="0" applyFill="1" applyBorder="1"/>
    <xf numFmtId="0" fontId="0" fillId="37" borderId="13" xfId="0" applyFill="1" applyBorder="1"/>
    <xf numFmtId="0" fontId="0" fillId="37" borderId="14" xfId="0" applyFill="1" applyBorder="1"/>
    <xf numFmtId="0" fontId="0" fillId="37" borderId="15" xfId="0" applyFill="1" applyBorder="1"/>
    <xf numFmtId="0" fontId="0" fillId="37" borderId="0" xfId="0" applyFill="1" applyBorder="1"/>
    <xf numFmtId="0" fontId="0" fillId="37" borderId="16" xfId="0" applyFill="1" applyBorder="1"/>
    <xf numFmtId="0" fontId="0" fillId="38" borderId="13" xfId="0" applyFill="1" applyBorder="1"/>
    <xf numFmtId="0" fontId="0" fillId="38" borderId="14" xfId="0" applyFill="1" applyBorder="1"/>
    <xf numFmtId="0" fontId="0" fillId="38" borderId="15" xfId="0" applyFill="1" applyBorder="1"/>
    <xf numFmtId="0" fontId="0" fillId="38" borderId="0" xfId="0" applyFill="1" applyBorder="1"/>
    <xf numFmtId="0" fontId="0" fillId="38" borderId="16" xfId="0" applyFill="1" applyBorder="1"/>
    <xf numFmtId="0" fontId="0" fillId="38" borderId="17" xfId="0" applyFill="1" applyBorder="1"/>
    <xf numFmtId="0" fontId="0" fillId="38" borderId="18" xfId="0" applyFill="1" applyBorder="1"/>
    <xf numFmtId="0" fontId="0" fillId="38" borderId="19" xfId="0" applyFill="1" applyBorder="1"/>
    <xf numFmtId="0" fontId="22" fillId="35" borderId="12" xfId="0" applyFont="1" applyFill="1" applyBorder="1"/>
    <xf numFmtId="0" fontId="22" fillId="37" borderId="12" xfId="0" applyFont="1" applyFill="1" applyBorder="1"/>
    <xf numFmtId="0" fontId="0" fillId="35" borderId="0" xfId="0" applyFill="1"/>
    <xf numFmtId="0" fontId="22" fillId="36" borderId="12" xfId="0" applyFont="1" applyFill="1" applyBorder="1"/>
    <xf numFmtId="0" fontId="22" fillId="38" borderId="12" xfId="0" applyFont="1" applyFill="1" applyBorder="1"/>
    <xf numFmtId="0" fontId="22" fillId="39" borderId="12" xfId="0" applyFont="1" applyFill="1" applyBorder="1"/>
    <xf numFmtId="0" fontId="0" fillId="39" borderId="13" xfId="0" applyFill="1" applyBorder="1"/>
    <xf numFmtId="0" fontId="0" fillId="39" borderId="14" xfId="0" applyFill="1" applyBorder="1"/>
    <xf numFmtId="0" fontId="0" fillId="39" borderId="15" xfId="0" applyFill="1" applyBorder="1"/>
    <xf numFmtId="0" fontId="0" fillId="39" borderId="0" xfId="0" applyFill="1" applyBorder="1"/>
    <xf numFmtId="0" fontId="0" fillId="39" borderId="16" xfId="0" applyFill="1" applyBorder="1"/>
    <xf numFmtId="0" fontId="23" fillId="40" borderId="10" xfId="0" applyFont="1" applyFill="1" applyBorder="1" applyAlignment="1">
      <alignment horizontal="center" wrapText="1"/>
    </xf>
    <xf numFmtId="0" fontId="17" fillId="40" borderId="0" xfId="0" applyFont="1" applyFill="1"/>
    <xf numFmtId="0" fontId="0" fillId="0" borderId="0" xfId="0"/>
    <xf numFmtId="0" fontId="20" fillId="0" borderId="0" xfId="0" applyFont="1" applyFill="1" applyBorder="1" applyAlignment="1">
      <alignment horizontal="left"/>
    </xf>
    <xf numFmtId="0" fontId="24" fillId="0" borderId="0" xfId="42"/>
    <xf numFmtId="0" fontId="18" fillId="41" borderId="10" xfId="0" applyFont="1" applyFill="1" applyBorder="1" applyAlignment="1">
      <alignment horizontal="center" wrapText="1"/>
    </xf>
    <xf numFmtId="0" fontId="17" fillId="41" borderId="0" xfId="0" applyFont="1" applyFill="1"/>
    <xf numFmtId="0" fontId="23" fillId="41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19" fillId="34" borderId="11" xfId="0" applyFont="1" applyFill="1" applyBorder="1" applyAlignment="1">
      <alignment horizontal="center"/>
    </xf>
    <xf numFmtId="0" fontId="18" fillId="40" borderId="10" xfId="0" applyFont="1" applyFill="1" applyBorder="1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23</xdr:row>
      <xdr:rowOff>95250</xdr:rowOff>
    </xdr:from>
    <xdr:to>
      <xdr:col>4</xdr:col>
      <xdr:colOff>447675</xdr:colOff>
      <xdr:row>38</xdr:row>
      <xdr:rowOff>123825</xdr:rowOff>
    </xdr:to>
    <xdr:cxnSp macro="">
      <xdr:nvCxnSpPr>
        <xdr:cNvPr id="5" name="Straight Arrow Connector 4"/>
        <xdr:cNvCxnSpPr/>
      </xdr:nvCxnSpPr>
      <xdr:spPr>
        <a:xfrm>
          <a:off x="2876550" y="2828925"/>
          <a:ext cx="9525" cy="288607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247650</xdr:colOff>
      <xdr:row>22</xdr:row>
      <xdr:rowOff>123825</xdr:rowOff>
    </xdr:from>
    <xdr:to>
      <xdr:col>15</xdr:col>
      <xdr:colOff>266700</xdr:colOff>
      <xdr:row>38</xdr:row>
      <xdr:rowOff>142875</xdr:rowOff>
    </xdr:to>
    <xdr:cxnSp macro="">
      <xdr:nvCxnSpPr>
        <xdr:cNvPr id="34" name="Straight Arrow Connector 33"/>
        <xdr:cNvCxnSpPr/>
      </xdr:nvCxnSpPr>
      <xdr:spPr>
        <a:xfrm flipH="1">
          <a:off x="9391650" y="4991100"/>
          <a:ext cx="19050" cy="30670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314325</xdr:colOff>
      <xdr:row>2</xdr:row>
      <xdr:rowOff>47625</xdr:rowOff>
    </xdr:from>
    <xdr:to>
      <xdr:col>15</xdr:col>
      <xdr:colOff>323850</xdr:colOff>
      <xdr:row>16</xdr:row>
      <xdr:rowOff>38100</xdr:rowOff>
    </xdr:to>
    <xdr:cxnSp macro="">
      <xdr:nvCxnSpPr>
        <xdr:cNvPr id="42" name="Straight Arrow Connector 41"/>
        <xdr:cNvCxnSpPr/>
      </xdr:nvCxnSpPr>
      <xdr:spPr>
        <a:xfrm>
          <a:off x="9458325" y="647700"/>
          <a:ext cx="9525" cy="288607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vmAutomation@powershell.com" TargetMode="External"/><Relationship Id="rId1" Type="http://schemas.openxmlformats.org/officeDocument/2006/relationships/hyperlink" Target="mailto:petergi@mfl.co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Z45"/>
  <sheetViews>
    <sheetView tabSelected="1" zoomScale="75" zoomScaleNormal="75" workbookViewId="0">
      <selection activeCell="N39" sqref="N39"/>
    </sheetView>
  </sheetViews>
  <sheetFormatPr defaultRowHeight="15"/>
  <sheetData>
    <row r="1" spans="1:26" ht="32.25" thickTop="1">
      <c r="A1" s="41"/>
      <c r="B1" s="15"/>
      <c r="C1" s="15"/>
      <c r="D1" s="15"/>
      <c r="E1" s="15"/>
      <c r="F1" s="15"/>
      <c r="G1" s="15"/>
      <c r="H1" s="15"/>
      <c r="I1" s="15"/>
      <c r="J1" s="15"/>
      <c r="K1" s="16"/>
      <c r="L1" s="42" t="s">
        <v>140</v>
      </c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9"/>
    </row>
    <row r="2" spans="1:26">
      <c r="A2" s="17"/>
      <c r="B2" s="18"/>
      <c r="C2" s="18"/>
      <c r="D2" s="18"/>
      <c r="E2" s="18"/>
      <c r="F2" s="18"/>
      <c r="G2" s="18"/>
      <c r="H2" s="18"/>
      <c r="I2" s="18"/>
      <c r="J2" s="18"/>
      <c r="K2" s="19"/>
      <c r="L2" s="30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2"/>
    </row>
    <row r="3" spans="1:26">
      <c r="A3" s="17"/>
      <c r="B3" s="18"/>
      <c r="C3" s="18"/>
      <c r="D3" s="18"/>
      <c r="E3" s="18"/>
      <c r="F3" s="18"/>
      <c r="G3" s="18" t="s">
        <v>117</v>
      </c>
      <c r="H3" s="18"/>
      <c r="I3" s="18"/>
      <c r="J3" s="18"/>
      <c r="K3" s="19"/>
      <c r="L3" s="30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2"/>
    </row>
    <row r="4" spans="1:26">
      <c r="A4" s="17"/>
      <c r="B4" s="18"/>
      <c r="C4" s="18"/>
      <c r="D4" s="18"/>
      <c r="E4" s="18"/>
      <c r="F4" s="18"/>
      <c r="G4" s="18" t="s">
        <v>108</v>
      </c>
      <c r="H4" s="18"/>
      <c r="I4" s="18"/>
      <c r="J4" s="18"/>
      <c r="K4" s="19"/>
      <c r="L4" s="30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2"/>
    </row>
    <row r="5" spans="1:26">
      <c r="A5" s="17"/>
      <c r="B5" s="18"/>
      <c r="C5" s="18"/>
      <c r="D5" s="18"/>
      <c r="E5" s="18"/>
      <c r="F5" s="18"/>
      <c r="G5" s="18"/>
      <c r="H5" s="18"/>
      <c r="I5" s="18"/>
      <c r="J5" s="18"/>
      <c r="K5" s="19"/>
      <c r="L5" s="30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2"/>
    </row>
    <row r="6" spans="1:26">
      <c r="A6" s="17"/>
      <c r="B6" s="18"/>
      <c r="C6" s="18"/>
      <c r="D6" s="18"/>
      <c r="E6" s="18"/>
      <c r="F6" s="18"/>
      <c r="G6" s="18"/>
      <c r="H6" s="18"/>
      <c r="I6" s="18"/>
      <c r="J6" s="18"/>
      <c r="K6" s="19"/>
      <c r="L6" s="30"/>
      <c r="M6" s="31"/>
      <c r="N6" s="31"/>
      <c r="O6" s="31"/>
      <c r="P6" s="31"/>
      <c r="Q6" s="31" t="s">
        <v>151</v>
      </c>
      <c r="R6" s="31"/>
      <c r="S6" s="31"/>
      <c r="T6" s="31"/>
      <c r="U6" s="31"/>
      <c r="V6" s="31"/>
      <c r="W6" s="31"/>
      <c r="X6" s="31"/>
      <c r="Y6" s="31"/>
      <c r="Z6" s="32"/>
    </row>
    <row r="7" spans="1:26">
      <c r="A7" s="17"/>
      <c r="B7" s="18"/>
      <c r="C7" s="18"/>
      <c r="D7" s="18"/>
      <c r="E7" s="18"/>
      <c r="F7" s="18"/>
      <c r="G7" s="18"/>
      <c r="H7" s="43"/>
      <c r="I7" s="18"/>
      <c r="J7" s="18"/>
      <c r="K7" s="19"/>
      <c r="L7" s="30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2"/>
    </row>
    <row r="8" spans="1:26">
      <c r="A8" s="17"/>
      <c r="B8" s="18"/>
      <c r="C8" s="18"/>
      <c r="D8" s="18"/>
      <c r="E8" s="18"/>
      <c r="F8" s="18"/>
      <c r="G8" s="18"/>
      <c r="H8" s="43"/>
      <c r="I8" s="18"/>
      <c r="J8" s="18"/>
      <c r="K8" s="19"/>
      <c r="L8" s="30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2"/>
    </row>
    <row r="9" spans="1:26">
      <c r="A9" s="17"/>
      <c r="B9" s="18" t="s">
        <v>210</v>
      </c>
      <c r="C9" s="18"/>
      <c r="D9" s="18"/>
      <c r="E9" s="18"/>
      <c r="F9" s="18"/>
      <c r="G9" s="43" t="s">
        <v>211</v>
      </c>
      <c r="H9" s="18"/>
      <c r="I9" s="18"/>
      <c r="J9" s="18"/>
      <c r="K9" s="19"/>
      <c r="L9" s="30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2"/>
    </row>
    <row r="10" spans="1:26">
      <c r="A10" s="17"/>
      <c r="B10" s="18"/>
      <c r="C10" s="18"/>
      <c r="D10" s="18"/>
      <c r="E10" s="18"/>
      <c r="F10" s="18"/>
      <c r="G10" s="18" t="s">
        <v>109</v>
      </c>
      <c r="H10" s="18"/>
      <c r="I10" s="18"/>
      <c r="J10" s="18"/>
      <c r="K10" s="19"/>
      <c r="L10" s="30"/>
      <c r="M10" s="31"/>
      <c r="N10" s="31"/>
      <c r="O10" s="31"/>
      <c r="P10" s="31"/>
      <c r="Q10" s="31" t="s">
        <v>152</v>
      </c>
      <c r="R10" s="31"/>
      <c r="S10" s="31"/>
      <c r="T10" s="31"/>
      <c r="U10" s="31"/>
      <c r="V10" s="31"/>
      <c r="W10" s="31"/>
      <c r="X10" s="31"/>
      <c r="Y10" s="31"/>
      <c r="Z10" s="32"/>
    </row>
    <row r="11" spans="1:26" ht="15.75" thickBot="1">
      <c r="A11" s="17"/>
      <c r="B11" s="18"/>
      <c r="C11" s="18"/>
      <c r="D11" s="18"/>
      <c r="E11" s="18"/>
      <c r="F11" s="18"/>
      <c r="G11" s="18" t="s">
        <v>110</v>
      </c>
      <c r="H11" s="18"/>
      <c r="I11" s="18"/>
      <c r="J11" s="18"/>
      <c r="K11" s="19"/>
      <c r="L11" s="30"/>
      <c r="M11" s="31" t="s">
        <v>122</v>
      </c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2"/>
    </row>
    <row r="12" spans="1:26" ht="32.25" thickTop="1">
      <c r="A12" s="46" t="s">
        <v>139</v>
      </c>
      <c r="B12" s="47"/>
      <c r="C12" s="47"/>
      <c r="D12" s="47"/>
      <c r="E12" s="47"/>
      <c r="F12" s="47"/>
      <c r="G12" s="47"/>
      <c r="H12" s="47"/>
      <c r="I12" s="47"/>
      <c r="J12" s="47"/>
      <c r="K12" s="48"/>
      <c r="L12" s="30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2"/>
    </row>
    <row r="13" spans="1:26">
      <c r="A13" s="49"/>
      <c r="B13" s="50"/>
      <c r="C13" s="50"/>
      <c r="D13" s="50"/>
      <c r="E13" s="50"/>
      <c r="F13" s="50"/>
      <c r="G13" s="50"/>
      <c r="H13" s="50"/>
      <c r="I13" s="50"/>
      <c r="J13" s="50"/>
      <c r="K13" s="51"/>
      <c r="L13" s="30"/>
      <c r="M13" s="31"/>
      <c r="N13" s="31"/>
      <c r="O13" s="31"/>
      <c r="P13" s="31"/>
      <c r="Q13" s="31" t="s">
        <v>153</v>
      </c>
      <c r="R13" s="31"/>
      <c r="S13" s="31"/>
      <c r="T13" s="31"/>
      <c r="U13" s="31"/>
      <c r="V13" s="31"/>
      <c r="W13" s="31"/>
      <c r="X13" s="31"/>
      <c r="Y13" s="31"/>
      <c r="Z13" s="32"/>
    </row>
    <row r="14" spans="1:26">
      <c r="A14" s="49"/>
      <c r="B14" s="50"/>
      <c r="C14" s="50"/>
      <c r="D14" s="50"/>
      <c r="E14" s="50"/>
      <c r="F14" s="50"/>
      <c r="G14" s="50"/>
      <c r="H14" s="50"/>
      <c r="I14" s="50"/>
      <c r="J14" s="50"/>
      <c r="K14" s="51"/>
      <c r="L14" s="30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2"/>
    </row>
    <row r="15" spans="1:26">
      <c r="A15" s="49"/>
      <c r="B15" s="50"/>
      <c r="C15" s="50"/>
      <c r="D15" s="50"/>
      <c r="E15" s="50"/>
      <c r="F15" s="50"/>
      <c r="G15" s="50"/>
      <c r="H15" s="50"/>
      <c r="I15" s="50"/>
      <c r="J15" s="50"/>
      <c r="K15" s="51"/>
      <c r="L15" s="30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2"/>
    </row>
    <row r="16" spans="1:26">
      <c r="A16" s="49"/>
      <c r="B16" s="50"/>
      <c r="C16" s="50"/>
      <c r="D16" s="50"/>
      <c r="E16" s="50"/>
      <c r="F16" s="50"/>
      <c r="G16" s="50"/>
      <c r="H16" s="50"/>
      <c r="I16" s="50"/>
      <c r="J16" s="50"/>
      <c r="K16" s="51"/>
      <c r="L16" s="30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2"/>
    </row>
    <row r="17" spans="1:26">
      <c r="A17" s="49"/>
      <c r="B17" s="50" t="s">
        <v>111</v>
      </c>
      <c r="C17" s="50"/>
      <c r="D17" s="50"/>
      <c r="E17" s="50"/>
      <c r="F17" s="50"/>
      <c r="G17" s="50"/>
      <c r="H17" s="50"/>
      <c r="I17" s="50"/>
      <c r="J17" s="50"/>
      <c r="K17" s="51"/>
      <c r="L17" s="30"/>
      <c r="M17" s="31"/>
      <c r="N17" s="31"/>
      <c r="O17" s="31"/>
      <c r="P17" s="31"/>
      <c r="Q17" s="31" t="s">
        <v>154</v>
      </c>
      <c r="R17" s="31"/>
      <c r="S17" s="31"/>
      <c r="T17" s="31"/>
      <c r="U17" s="31"/>
      <c r="V17" s="31"/>
      <c r="W17" s="31"/>
      <c r="X17" s="31"/>
      <c r="Y17" s="31"/>
      <c r="Z17" s="32"/>
    </row>
    <row r="18" spans="1:26">
      <c r="A18" s="49"/>
      <c r="B18" s="50" t="s">
        <v>112</v>
      </c>
      <c r="C18" s="50"/>
      <c r="D18" s="50"/>
      <c r="E18" s="50"/>
      <c r="F18" s="50"/>
      <c r="G18" s="50"/>
      <c r="H18" s="50"/>
      <c r="I18" s="50"/>
      <c r="J18" s="50"/>
      <c r="K18" s="51"/>
      <c r="L18" s="30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2"/>
    </row>
    <row r="19" spans="1:26">
      <c r="A19" s="49"/>
      <c r="B19" s="50"/>
      <c r="C19" s="50"/>
      <c r="D19" s="50"/>
      <c r="E19" s="50"/>
      <c r="F19" s="50"/>
      <c r="G19" s="50"/>
      <c r="H19" s="50"/>
      <c r="I19" s="50"/>
      <c r="J19" s="50"/>
      <c r="K19" s="51"/>
      <c r="L19" s="30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2"/>
    </row>
    <row r="20" spans="1:26" ht="15.75" thickBot="1">
      <c r="A20" s="49"/>
      <c r="B20" s="50"/>
      <c r="C20" s="50"/>
      <c r="D20" s="50"/>
      <c r="E20" s="50"/>
      <c r="F20" s="50"/>
      <c r="G20" s="50"/>
      <c r="H20" s="50"/>
      <c r="I20" s="50"/>
      <c r="J20" s="50"/>
      <c r="K20" s="51"/>
      <c r="L20" s="30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2"/>
    </row>
    <row r="21" spans="1:26" ht="32.25" thickTop="1">
      <c r="A21" s="44" t="s">
        <v>141</v>
      </c>
      <c r="B21" s="20"/>
      <c r="C21" s="20"/>
      <c r="D21" s="20"/>
      <c r="E21" s="20"/>
      <c r="F21" s="20"/>
      <c r="G21" s="20"/>
      <c r="H21" s="20"/>
      <c r="I21" s="20"/>
      <c r="J21" s="20"/>
      <c r="K21" s="21"/>
      <c r="L21" s="45" t="s">
        <v>200</v>
      </c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4"/>
    </row>
    <row r="22" spans="1:26">
      <c r="A22" s="22"/>
      <c r="B22" s="23"/>
      <c r="C22" s="23"/>
      <c r="D22" s="23"/>
      <c r="E22" s="23"/>
      <c r="F22" s="23"/>
      <c r="G22" s="23"/>
      <c r="H22" s="23"/>
      <c r="I22" s="23"/>
      <c r="J22" s="23"/>
      <c r="K22" s="24"/>
      <c r="L22" s="35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7"/>
    </row>
    <row r="23" spans="1:26">
      <c r="A23" s="22"/>
      <c r="B23" s="23"/>
      <c r="C23" s="23"/>
      <c r="D23" s="23"/>
      <c r="E23" s="23"/>
      <c r="F23" s="23"/>
      <c r="G23" s="23"/>
      <c r="H23" s="23"/>
      <c r="I23" s="23"/>
      <c r="J23" s="23"/>
      <c r="K23" s="24"/>
      <c r="L23" s="35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7"/>
    </row>
    <row r="24" spans="1:26">
      <c r="A24" s="22"/>
      <c r="B24" s="23"/>
      <c r="C24" s="23"/>
      <c r="D24" s="23"/>
      <c r="E24" s="23"/>
      <c r="F24" s="23"/>
      <c r="G24" s="23"/>
      <c r="H24" s="23"/>
      <c r="I24" s="23"/>
      <c r="J24" s="23"/>
      <c r="K24" s="24"/>
      <c r="L24" s="35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7"/>
    </row>
    <row r="25" spans="1:26">
      <c r="A25" s="22"/>
      <c r="B25" s="23"/>
      <c r="C25" s="23"/>
      <c r="D25" s="23"/>
      <c r="E25" s="23"/>
      <c r="F25" s="23"/>
      <c r="G25" s="23"/>
      <c r="H25" s="23"/>
      <c r="I25" s="23"/>
      <c r="J25" s="23"/>
      <c r="K25" s="24"/>
      <c r="L25" s="35"/>
      <c r="M25" s="36"/>
      <c r="N25" s="36"/>
      <c r="O25" s="36"/>
      <c r="P25" s="36"/>
      <c r="Q25" s="36" t="s">
        <v>118</v>
      </c>
      <c r="R25" s="36"/>
      <c r="S25" s="36"/>
      <c r="T25" s="36"/>
      <c r="U25" s="36"/>
      <c r="V25" s="36"/>
      <c r="W25" s="36"/>
      <c r="X25" s="36"/>
      <c r="Y25" s="36"/>
      <c r="Z25" s="37"/>
    </row>
    <row r="26" spans="1:26">
      <c r="A26" s="22"/>
      <c r="B26" s="23"/>
      <c r="C26" s="23"/>
      <c r="D26" s="23"/>
      <c r="E26" s="23"/>
      <c r="F26" s="23" t="s">
        <v>113</v>
      </c>
      <c r="G26" s="23"/>
      <c r="H26" s="23"/>
      <c r="I26" s="23"/>
      <c r="J26" s="23"/>
      <c r="K26" s="24"/>
      <c r="L26" s="35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7"/>
    </row>
    <row r="27" spans="1:26">
      <c r="A27" s="22"/>
      <c r="B27" s="23"/>
      <c r="C27" s="23"/>
      <c r="D27" s="23"/>
      <c r="E27" s="23"/>
      <c r="F27" s="23"/>
      <c r="G27" s="23"/>
      <c r="H27" s="23"/>
      <c r="I27" s="23"/>
      <c r="J27" s="23"/>
      <c r="K27" s="24"/>
      <c r="L27" s="35"/>
      <c r="M27" s="36" t="s">
        <v>198</v>
      </c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7"/>
    </row>
    <row r="28" spans="1:26">
      <c r="A28" s="22"/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35"/>
      <c r="M28" s="36" t="s">
        <v>199</v>
      </c>
      <c r="N28" s="36"/>
      <c r="O28" s="36"/>
      <c r="P28" s="36"/>
      <c r="Q28" s="36" t="s">
        <v>119</v>
      </c>
      <c r="R28" s="36"/>
      <c r="S28" s="36"/>
      <c r="T28" s="36"/>
      <c r="U28" s="36"/>
      <c r="V28" s="36"/>
      <c r="W28" s="36"/>
      <c r="X28" s="36"/>
      <c r="Y28" s="36"/>
      <c r="Z28" s="37"/>
    </row>
    <row r="29" spans="1:26">
      <c r="A29" s="22"/>
      <c r="B29" s="23"/>
      <c r="C29" s="23"/>
      <c r="D29" s="23"/>
      <c r="E29" s="23"/>
      <c r="F29" s="23"/>
      <c r="G29" s="23"/>
      <c r="H29" s="23"/>
      <c r="I29" s="23"/>
      <c r="J29" s="23"/>
      <c r="K29" s="24"/>
      <c r="L29" s="35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7"/>
    </row>
    <row r="30" spans="1:26">
      <c r="A30" s="22"/>
      <c r="B30" s="23"/>
      <c r="C30" s="23"/>
      <c r="D30" s="23"/>
      <c r="E30" s="23"/>
      <c r="F30" s="23"/>
      <c r="G30" s="23"/>
      <c r="H30" s="23"/>
      <c r="I30" s="23"/>
      <c r="J30" s="23"/>
      <c r="K30" s="24"/>
      <c r="L30" s="35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7"/>
    </row>
    <row r="31" spans="1:26">
      <c r="A31" s="22"/>
      <c r="B31" s="23"/>
      <c r="C31" s="23"/>
      <c r="D31" s="23"/>
      <c r="E31" s="23"/>
      <c r="F31" s="23" t="s">
        <v>114</v>
      </c>
      <c r="G31" s="23"/>
      <c r="H31" s="23"/>
      <c r="I31" s="23"/>
      <c r="J31" s="23"/>
      <c r="K31" s="24"/>
      <c r="L31" s="35"/>
      <c r="M31" s="36"/>
      <c r="N31" s="36"/>
      <c r="O31" s="36"/>
      <c r="P31" s="36"/>
      <c r="Q31" s="36" t="s">
        <v>120</v>
      </c>
      <c r="R31" s="36"/>
      <c r="S31" s="36"/>
      <c r="T31" s="36"/>
      <c r="U31" s="36"/>
      <c r="V31" s="36"/>
      <c r="W31" s="36"/>
      <c r="X31" s="36"/>
      <c r="Y31" s="36"/>
      <c r="Z31" s="37"/>
    </row>
    <row r="32" spans="1:26">
      <c r="A32" s="22"/>
      <c r="B32" s="23"/>
      <c r="C32" s="23"/>
      <c r="D32" s="23"/>
      <c r="E32" s="23"/>
      <c r="F32" s="23"/>
      <c r="G32" s="23"/>
      <c r="H32" s="23"/>
      <c r="I32" s="23"/>
      <c r="J32" s="23"/>
      <c r="K32" s="24"/>
      <c r="L32" s="35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7"/>
    </row>
    <row r="33" spans="1:26">
      <c r="A33" s="22"/>
      <c r="B33" s="23"/>
      <c r="C33" s="23"/>
      <c r="D33" s="23"/>
      <c r="E33" s="23"/>
      <c r="F33" s="23"/>
      <c r="G33" s="23"/>
      <c r="H33" s="23"/>
      <c r="I33" s="23"/>
      <c r="J33" s="23"/>
      <c r="K33" s="24"/>
      <c r="L33" s="35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7"/>
    </row>
    <row r="34" spans="1:26">
      <c r="A34" s="22" t="s">
        <v>122</v>
      </c>
      <c r="B34" s="23"/>
      <c r="C34" s="23"/>
      <c r="D34" s="23"/>
      <c r="E34" s="23"/>
      <c r="F34" s="23"/>
      <c r="G34" s="23"/>
      <c r="H34" s="23"/>
      <c r="I34" s="23"/>
      <c r="J34" s="23"/>
      <c r="K34" s="24"/>
      <c r="L34" s="35"/>
      <c r="M34" s="36" t="s">
        <v>122</v>
      </c>
      <c r="N34" s="36"/>
      <c r="O34" s="36"/>
      <c r="P34" s="36"/>
      <c r="Q34" s="36" t="s">
        <v>121</v>
      </c>
      <c r="R34" s="36"/>
      <c r="S34" s="36"/>
      <c r="T34" s="36"/>
      <c r="U34" s="36"/>
      <c r="V34" s="36"/>
      <c r="W34" s="36"/>
      <c r="X34" s="36"/>
      <c r="Y34" s="36"/>
      <c r="Z34" s="37"/>
    </row>
    <row r="35" spans="1:26">
      <c r="A35" s="22"/>
      <c r="B35" s="23"/>
      <c r="C35" s="23"/>
      <c r="D35" s="23"/>
      <c r="E35" s="23"/>
      <c r="F35" s="23"/>
      <c r="G35" s="23"/>
      <c r="H35" s="23"/>
      <c r="I35" s="23"/>
      <c r="J35" s="23"/>
      <c r="K35" s="24"/>
      <c r="L35" s="35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7"/>
    </row>
    <row r="36" spans="1:26">
      <c r="A36" s="22"/>
      <c r="B36" s="23"/>
      <c r="C36" s="23"/>
      <c r="D36" s="23"/>
      <c r="E36" s="23"/>
      <c r="F36" s="23" t="s">
        <v>115</v>
      </c>
      <c r="G36" s="23"/>
      <c r="H36" s="23"/>
      <c r="I36" s="23"/>
      <c r="J36" s="23"/>
      <c r="K36" s="24"/>
      <c r="L36" s="35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7"/>
    </row>
    <row r="37" spans="1:26">
      <c r="A37" s="22"/>
      <c r="B37" s="23"/>
      <c r="C37" s="23"/>
      <c r="D37" s="23"/>
      <c r="E37" s="23"/>
      <c r="F37" s="23"/>
      <c r="G37" s="23"/>
      <c r="H37" s="23"/>
      <c r="I37" s="23"/>
      <c r="J37" s="23"/>
      <c r="K37" s="24"/>
      <c r="L37" s="35"/>
      <c r="M37" s="36"/>
      <c r="N37" s="36"/>
      <c r="O37" s="36"/>
      <c r="P37" s="36"/>
      <c r="Q37" s="36" t="s">
        <v>123</v>
      </c>
      <c r="R37" s="36"/>
      <c r="S37" s="36"/>
      <c r="T37" s="36"/>
      <c r="U37" s="36"/>
      <c r="V37" s="36"/>
      <c r="W37" s="36"/>
      <c r="X37" s="36"/>
      <c r="Y37" s="36"/>
      <c r="Z37" s="37"/>
    </row>
    <row r="38" spans="1:26">
      <c r="A38" s="22"/>
      <c r="B38" s="23"/>
      <c r="C38" s="23"/>
      <c r="D38" s="23"/>
      <c r="E38" s="23"/>
      <c r="F38" s="23"/>
      <c r="G38" s="23"/>
      <c r="H38" s="23"/>
      <c r="I38" s="23"/>
      <c r="J38" s="23"/>
      <c r="K38" s="24"/>
      <c r="L38" s="35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7"/>
    </row>
    <row r="39" spans="1:26">
      <c r="A39" s="22"/>
      <c r="B39" s="23"/>
      <c r="C39" s="23"/>
      <c r="D39" s="23"/>
      <c r="E39" s="23"/>
      <c r="F39" s="23"/>
      <c r="G39" s="23"/>
      <c r="H39" s="23"/>
      <c r="I39" s="23"/>
      <c r="J39" s="23"/>
      <c r="K39" s="24"/>
      <c r="L39" s="35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7"/>
    </row>
    <row r="40" spans="1:26">
      <c r="A40" s="22"/>
      <c r="B40" s="23"/>
      <c r="C40" s="23"/>
      <c r="D40" s="23"/>
      <c r="E40" s="23"/>
      <c r="F40" s="23"/>
      <c r="G40" s="23"/>
      <c r="H40" s="23"/>
      <c r="I40" s="23"/>
      <c r="J40" s="23"/>
      <c r="K40" s="24"/>
      <c r="L40" s="35"/>
      <c r="M40" s="36"/>
      <c r="N40" s="36"/>
      <c r="O40" s="36"/>
      <c r="P40" s="36"/>
      <c r="Q40" s="36" t="s">
        <v>157</v>
      </c>
      <c r="R40" s="36"/>
      <c r="S40" s="36"/>
      <c r="T40" s="36"/>
      <c r="U40" s="36"/>
      <c r="V40" s="36"/>
      <c r="W40" s="36"/>
      <c r="X40" s="36"/>
      <c r="Y40" s="36"/>
      <c r="Z40" s="37"/>
    </row>
    <row r="41" spans="1:26">
      <c r="A41" s="22"/>
      <c r="B41" s="23"/>
      <c r="C41" s="23"/>
      <c r="D41" s="23"/>
      <c r="E41" s="23"/>
      <c r="F41" s="23" t="s">
        <v>116</v>
      </c>
      <c r="G41" s="23"/>
      <c r="H41" s="23"/>
      <c r="I41" s="23"/>
      <c r="J41" s="23"/>
      <c r="K41" s="24"/>
      <c r="L41" s="35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7"/>
    </row>
    <row r="42" spans="1:26">
      <c r="A42" s="22"/>
      <c r="B42" s="23"/>
      <c r="C42" s="23"/>
      <c r="D42" s="23"/>
      <c r="E42" s="23"/>
      <c r="F42" s="23"/>
      <c r="G42" s="23"/>
      <c r="H42" s="23"/>
      <c r="I42" s="23"/>
      <c r="J42" s="23"/>
      <c r="K42" s="24"/>
      <c r="L42" s="35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7"/>
    </row>
    <row r="43" spans="1:26">
      <c r="A43" s="22"/>
      <c r="B43" s="23"/>
      <c r="C43" s="23"/>
      <c r="D43" s="23"/>
      <c r="E43" s="23"/>
      <c r="F43" s="23"/>
      <c r="G43" s="23"/>
      <c r="H43" s="23"/>
      <c r="I43" s="23"/>
      <c r="J43" s="23"/>
      <c r="K43" s="24"/>
      <c r="L43" s="35"/>
      <c r="M43" s="36"/>
      <c r="N43" s="36"/>
      <c r="O43" s="36"/>
      <c r="P43" s="36"/>
      <c r="Q43" s="36" t="s">
        <v>243</v>
      </c>
      <c r="R43" s="36"/>
      <c r="S43" s="36"/>
      <c r="T43" s="36"/>
      <c r="U43" s="36"/>
      <c r="V43" s="36"/>
      <c r="W43" s="36"/>
      <c r="X43" s="36"/>
      <c r="Y43" s="36"/>
      <c r="Z43" s="37"/>
    </row>
    <row r="44" spans="1:26" ht="15.75" thickBot="1">
      <c r="A44" s="25"/>
      <c r="B44" s="26"/>
      <c r="C44" s="26"/>
      <c r="D44" s="26"/>
      <c r="E44" s="26"/>
      <c r="F44" s="26"/>
      <c r="G44" s="26"/>
      <c r="H44" s="26"/>
      <c r="I44" s="26"/>
      <c r="J44" s="26"/>
      <c r="K44" s="27"/>
      <c r="L44" s="38"/>
      <c r="M44" s="39"/>
      <c r="N44" s="39"/>
      <c r="O44" s="39"/>
      <c r="P44" s="39"/>
      <c r="Q44" s="39" t="s">
        <v>248</v>
      </c>
      <c r="R44" s="39"/>
      <c r="S44" s="39"/>
      <c r="T44" s="39"/>
      <c r="U44" s="39"/>
      <c r="V44" s="39"/>
      <c r="W44" s="39"/>
      <c r="X44" s="39"/>
      <c r="Y44" s="39"/>
      <c r="Z44" s="40"/>
    </row>
    <row r="45" spans="1:26" ht="15.75" thickTop="1"/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C14"/>
  <sheetViews>
    <sheetView workbookViewId="0">
      <selection activeCell="B3" sqref="B3"/>
    </sheetView>
  </sheetViews>
  <sheetFormatPr defaultRowHeight="15"/>
  <cols>
    <col min="1" max="1" width="18.7109375" bestFit="1" customWidth="1"/>
    <col min="2" max="2" width="22.42578125" bestFit="1" customWidth="1"/>
  </cols>
  <sheetData>
    <row r="1" spans="1:3">
      <c r="A1" t="s">
        <v>15</v>
      </c>
      <c r="B1" t="s">
        <v>16</v>
      </c>
      <c r="C1" t="s">
        <v>8</v>
      </c>
    </row>
    <row r="3" spans="1:3">
      <c r="A3" t="s">
        <v>72</v>
      </c>
      <c r="B3" s="54" t="s">
        <v>213</v>
      </c>
      <c r="C3" t="s">
        <v>73</v>
      </c>
    </row>
    <row r="4" spans="1:3" s="54" customFormat="1">
      <c r="A4" s="54" t="s">
        <v>212</v>
      </c>
      <c r="B4" s="54" t="s">
        <v>214</v>
      </c>
    </row>
    <row r="5" spans="1:3">
      <c r="A5" t="s">
        <v>3</v>
      </c>
      <c r="B5" t="s">
        <v>4</v>
      </c>
    </row>
    <row r="6" spans="1:3">
      <c r="A6" t="s">
        <v>34</v>
      </c>
      <c r="B6" t="s">
        <v>35</v>
      </c>
    </row>
    <row r="7" spans="1:3">
      <c r="A7" t="s">
        <v>28</v>
      </c>
      <c r="B7" t="s">
        <v>29</v>
      </c>
    </row>
    <row r="8" spans="1:3" s="54" customFormat="1">
      <c r="A8" s="54" t="s">
        <v>215</v>
      </c>
    </row>
    <row r="9" spans="1:3">
      <c r="A9" t="s">
        <v>30</v>
      </c>
      <c r="B9" t="s">
        <v>31</v>
      </c>
    </row>
    <row r="10" spans="1:3">
      <c r="A10" t="s">
        <v>105</v>
      </c>
      <c r="B10" t="s">
        <v>33</v>
      </c>
    </row>
    <row r="11" spans="1:3">
      <c r="A11" t="s">
        <v>32</v>
      </c>
      <c r="B11" t="s">
        <v>33</v>
      </c>
    </row>
    <row r="12" spans="1:3">
      <c r="A12" t="s">
        <v>207</v>
      </c>
      <c r="B12" s="56" t="s">
        <v>204</v>
      </c>
    </row>
    <row r="13" spans="1:3">
      <c r="A13" t="s">
        <v>208</v>
      </c>
      <c r="B13" s="56" t="s">
        <v>205</v>
      </c>
    </row>
    <row r="14" spans="1:3">
      <c r="A14" t="s">
        <v>209</v>
      </c>
      <c r="B14" t="s">
        <v>206</v>
      </c>
    </row>
  </sheetData>
  <hyperlinks>
    <hyperlink ref="B12" r:id="rId1"/>
    <hyperlink ref="B1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O11"/>
  <sheetViews>
    <sheetView workbookViewId="0">
      <selection activeCell="B9" sqref="B9"/>
    </sheetView>
  </sheetViews>
  <sheetFormatPr defaultRowHeight="15"/>
  <cols>
    <col min="1" max="1" width="20.85546875" customWidth="1"/>
    <col min="2" max="2" width="13.5703125" style="54" customWidth="1"/>
    <col min="6" max="6" width="19.7109375" bestFit="1" customWidth="1"/>
    <col min="7" max="7" width="19.7109375" customWidth="1"/>
    <col min="8" max="8" width="40.42578125" bestFit="1" customWidth="1"/>
    <col min="9" max="9" width="40.42578125" customWidth="1"/>
    <col min="10" max="10" width="32.42578125" bestFit="1" customWidth="1"/>
    <col min="14" max="14" width="27.7109375" bestFit="1" customWidth="1"/>
  </cols>
  <sheetData>
    <row r="1" spans="1:15" ht="39">
      <c r="A1" s="1" t="s">
        <v>1</v>
      </c>
      <c r="B1" s="59" t="s">
        <v>241</v>
      </c>
      <c r="C1" s="1" t="s">
        <v>5</v>
      </c>
      <c r="D1" s="57" t="s">
        <v>14</v>
      </c>
      <c r="E1" s="57" t="s">
        <v>0</v>
      </c>
      <c r="F1" s="1" t="s">
        <v>13</v>
      </c>
      <c r="G1" s="1" t="s">
        <v>22</v>
      </c>
      <c r="H1" s="1" t="s">
        <v>2</v>
      </c>
      <c r="I1" s="1" t="s">
        <v>24</v>
      </c>
      <c r="J1" s="1" t="s">
        <v>12</v>
      </c>
      <c r="K1" s="1" t="s">
        <v>11</v>
      </c>
      <c r="L1" s="1" t="s">
        <v>7</v>
      </c>
      <c r="M1" s="1" t="s">
        <v>6</v>
      </c>
      <c r="N1" s="1" t="s">
        <v>18</v>
      </c>
      <c r="O1" s="1" t="s">
        <v>8</v>
      </c>
    </row>
    <row r="2" spans="1:15">
      <c r="A2" s="8"/>
      <c r="B2" s="8"/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1:15" ht="15.75" thickBot="1">
      <c r="A3" s="2" t="s">
        <v>9</v>
      </c>
      <c r="B3" s="2"/>
      <c r="C3" s="2"/>
      <c r="D3" s="3"/>
      <c r="E3" s="4"/>
      <c r="F3" s="4"/>
      <c r="G3" s="4"/>
      <c r="H3" s="4"/>
      <c r="I3" s="4"/>
      <c r="J3" s="4"/>
      <c r="K3" s="4"/>
      <c r="L3" s="3"/>
      <c r="M3" s="3"/>
      <c r="N3" s="5"/>
      <c r="O3" s="3"/>
    </row>
    <row r="4" spans="1:15">
      <c r="A4" s="54" t="s">
        <v>216</v>
      </c>
      <c r="B4" s="60" t="s">
        <v>247</v>
      </c>
      <c r="C4" s="54" t="s">
        <v>98</v>
      </c>
      <c r="D4" s="54" t="s">
        <v>99</v>
      </c>
      <c r="E4" s="54" t="s">
        <v>10</v>
      </c>
      <c r="F4" s="54" t="s">
        <v>158</v>
      </c>
      <c r="G4" s="54" t="s">
        <v>23</v>
      </c>
      <c r="H4" s="54" t="s">
        <v>101</v>
      </c>
      <c r="I4" s="54" t="s">
        <v>102</v>
      </c>
      <c r="J4" s="54" t="s">
        <v>217</v>
      </c>
      <c r="K4" s="54"/>
      <c r="L4" s="54">
        <v>1</v>
      </c>
      <c r="M4" s="54">
        <v>512</v>
      </c>
      <c r="N4" s="54" t="s">
        <v>19</v>
      </c>
      <c r="O4" s="54" t="s">
        <v>103</v>
      </c>
    </row>
    <row r="5" spans="1:15">
      <c r="A5" s="54" t="s">
        <v>218</v>
      </c>
      <c r="B5" s="60" t="s">
        <v>247</v>
      </c>
      <c r="C5" t="s">
        <v>98</v>
      </c>
      <c r="D5" t="s">
        <v>99</v>
      </c>
      <c r="E5" t="s">
        <v>10</v>
      </c>
      <c r="F5" t="s">
        <v>100</v>
      </c>
      <c r="G5" s="54" t="s">
        <v>23</v>
      </c>
      <c r="H5" s="54" t="s">
        <v>239</v>
      </c>
      <c r="I5" s="54" t="s">
        <v>102</v>
      </c>
      <c r="J5" s="54" t="s">
        <v>217</v>
      </c>
      <c r="K5" s="54"/>
      <c r="L5" s="54">
        <v>2</v>
      </c>
      <c r="M5" s="54">
        <v>1024</v>
      </c>
      <c r="N5" s="54" t="s">
        <v>19</v>
      </c>
      <c r="O5" s="54" t="s">
        <v>103</v>
      </c>
    </row>
    <row r="6" spans="1:15">
      <c r="B6" s="60"/>
    </row>
    <row r="7" spans="1:15" s="54" customFormat="1" ht="15.75" thickBot="1">
      <c r="A7" s="2" t="s">
        <v>168</v>
      </c>
      <c r="B7" s="61"/>
      <c r="C7" s="2"/>
      <c r="D7" s="3"/>
      <c r="E7" s="4"/>
      <c r="F7" s="4"/>
      <c r="G7" s="4"/>
      <c r="H7" s="4"/>
      <c r="I7" s="4"/>
      <c r="J7" s="4"/>
      <c r="K7" s="4"/>
      <c r="L7" s="3"/>
      <c r="M7" s="3"/>
      <c r="N7" s="5"/>
      <c r="O7" s="3"/>
    </row>
    <row r="8" spans="1:15">
      <c r="A8" s="54" t="s">
        <v>219</v>
      </c>
      <c r="B8" s="60" t="s">
        <v>242</v>
      </c>
      <c r="C8" s="54" t="s">
        <v>98</v>
      </c>
      <c r="D8" t="s">
        <v>21</v>
      </c>
      <c r="E8" t="s">
        <v>10</v>
      </c>
      <c r="F8" s="54" t="s">
        <v>169</v>
      </c>
      <c r="G8" s="54" t="s">
        <v>23</v>
      </c>
      <c r="H8" t="s">
        <v>159</v>
      </c>
      <c r="I8" t="s">
        <v>160</v>
      </c>
      <c r="J8" s="54" t="s">
        <v>217</v>
      </c>
      <c r="L8">
        <v>1</v>
      </c>
      <c r="M8">
        <v>512</v>
      </c>
      <c r="N8" s="54" t="s">
        <v>19</v>
      </c>
      <c r="O8" t="s">
        <v>161</v>
      </c>
    </row>
    <row r="9" spans="1:15">
      <c r="A9" s="54" t="s">
        <v>220</v>
      </c>
      <c r="B9" s="60" t="s">
        <v>247</v>
      </c>
      <c r="C9" s="54" t="s">
        <v>98</v>
      </c>
      <c r="D9" s="54" t="s">
        <v>21</v>
      </c>
      <c r="E9" s="54" t="s">
        <v>10</v>
      </c>
      <c r="F9" s="54" t="s">
        <v>170</v>
      </c>
      <c r="G9" s="54" t="s">
        <v>23</v>
      </c>
      <c r="H9" t="s">
        <v>172</v>
      </c>
      <c r="I9" t="s">
        <v>174</v>
      </c>
      <c r="J9" s="54" t="s">
        <v>217</v>
      </c>
      <c r="L9">
        <v>2</v>
      </c>
      <c r="M9">
        <v>2048</v>
      </c>
      <c r="N9" s="54" t="s">
        <v>19</v>
      </c>
      <c r="O9" s="54" t="s">
        <v>161</v>
      </c>
    </row>
    <row r="10" spans="1:15">
      <c r="A10" s="54" t="s">
        <v>221</v>
      </c>
      <c r="B10" s="60" t="s">
        <v>242</v>
      </c>
      <c r="C10" s="54" t="s">
        <v>98</v>
      </c>
      <c r="D10" s="54" t="s">
        <v>21</v>
      </c>
      <c r="E10" s="54" t="s">
        <v>10</v>
      </c>
      <c r="F10" s="54" t="s">
        <v>171</v>
      </c>
      <c r="G10" s="54" t="s">
        <v>23</v>
      </c>
      <c r="H10" s="54" t="s">
        <v>173</v>
      </c>
      <c r="I10" t="s">
        <v>197</v>
      </c>
      <c r="J10" s="54" t="s">
        <v>217</v>
      </c>
      <c r="L10">
        <v>2</v>
      </c>
      <c r="M10">
        <v>1024</v>
      </c>
      <c r="N10" s="54" t="s">
        <v>19</v>
      </c>
      <c r="O10" s="54" t="s">
        <v>161</v>
      </c>
    </row>
    <row r="11" spans="1:15">
      <c r="G11" s="5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Y11"/>
  <sheetViews>
    <sheetView workbookViewId="0">
      <selection activeCell="B10" sqref="B10"/>
    </sheetView>
  </sheetViews>
  <sheetFormatPr defaultRowHeight="15"/>
  <cols>
    <col min="1" max="1" width="15.42578125" bestFit="1" customWidth="1"/>
    <col min="2" max="2" width="15.42578125" style="54" customWidth="1"/>
    <col min="3" max="3" width="15.42578125" customWidth="1"/>
    <col min="4" max="5" width="11.42578125" customWidth="1"/>
    <col min="6" max="9" width="10.85546875" customWidth="1"/>
  </cols>
  <sheetData>
    <row r="1" spans="1:25" ht="41.25" customHeight="1">
      <c r="A1" s="1" t="s">
        <v>1</v>
      </c>
      <c r="B1" s="59" t="s">
        <v>241</v>
      </c>
      <c r="C1" s="57" t="s">
        <v>14</v>
      </c>
      <c r="D1" s="57" t="s">
        <v>39</v>
      </c>
      <c r="E1" s="1" t="s">
        <v>41</v>
      </c>
      <c r="F1" s="1" t="s">
        <v>42</v>
      </c>
      <c r="G1" s="1" t="s">
        <v>68</v>
      </c>
      <c r="H1" s="1" t="s">
        <v>63</v>
      </c>
      <c r="I1" s="1" t="s">
        <v>50</v>
      </c>
      <c r="J1" s="1" t="s">
        <v>43</v>
      </c>
      <c r="K1" s="1" t="s">
        <v>44</v>
      </c>
      <c r="L1" s="1" t="s">
        <v>69</v>
      </c>
      <c r="M1" s="1" t="s">
        <v>64</v>
      </c>
      <c r="N1" s="1" t="s">
        <v>51</v>
      </c>
      <c r="O1" s="1" t="s">
        <v>45</v>
      </c>
      <c r="P1" s="1" t="s">
        <v>46</v>
      </c>
      <c r="Q1" s="1" t="s">
        <v>70</v>
      </c>
      <c r="R1" s="1" t="s">
        <v>65</v>
      </c>
      <c r="S1" s="1" t="s">
        <v>52</v>
      </c>
      <c r="T1" s="1" t="s">
        <v>47</v>
      </c>
      <c r="U1" s="1" t="s">
        <v>48</v>
      </c>
      <c r="V1" s="1" t="s">
        <v>71</v>
      </c>
      <c r="W1" s="1" t="s">
        <v>66</v>
      </c>
      <c r="X1" s="1" t="s">
        <v>53</v>
      </c>
      <c r="Y1" s="1" t="s">
        <v>40</v>
      </c>
    </row>
    <row r="3" spans="1:25">
      <c r="A3" t="str">
        <f>Servers!A3:A10</f>
        <v>Oracle</v>
      </c>
    </row>
    <row r="4" spans="1:25">
      <c r="A4" s="54" t="str">
        <f>Servers!A4:A11</f>
        <v>AutoTest-oracle1</v>
      </c>
      <c r="B4" s="60" t="s">
        <v>247</v>
      </c>
      <c r="C4" t="s">
        <v>99</v>
      </c>
      <c r="D4">
        <v>1</v>
      </c>
      <c r="E4" s="54" t="s">
        <v>222</v>
      </c>
      <c r="F4">
        <v>2</v>
      </c>
      <c r="G4" t="s">
        <v>202</v>
      </c>
      <c r="H4" t="s">
        <v>203</v>
      </c>
      <c r="I4" t="str">
        <f>"/dev/" &amp;  G4 &amp; "1 " &amp; H4 &amp; " ext3 defaults 1 2"</f>
        <v>/dev/sdc1 /testing ext3 defaults 1 2</v>
      </c>
    </row>
    <row r="5" spans="1:25">
      <c r="A5" s="54" t="str">
        <f>Servers!A5:A12</f>
        <v>AutoTest-oracle2</v>
      </c>
      <c r="B5" s="60" t="s">
        <v>247</v>
      </c>
      <c r="C5" t="s">
        <v>99</v>
      </c>
      <c r="D5">
        <v>0</v>
      </c>
    </row>
    <row r="6" spans="1:25">
      <c r="A6" s="54"/>
      <c r="B6" s="60"/>
    </row>
    <row r="7" spans="1:25">
      <c r="A7" s="54" t="str">
        <f>Servers!A7:A14</f>
        <v>Win</v>
      </c>
      <c r="B7" s="60"/>
    </row>
    <row r="8" spans="1:25">
      <c r="A8" s="54" t="str">
        <f>Servers!A8:A15</f>
        <v>AutoTest-win2k3</v>
      </c>
      <c r="B8" s="60" t="s">
        <v>242</v>
      </c>
      <c r="C8" t="s">
        <v>21</v>
      </c>
      <c r="D8">
        <v>0</v>
      </c>
      <c r="E8" s="54"/>
      <c r="F8">
        <v>5</v>
      </c>
      <c r="J8" s="54"/>
    </row>
    <row r="9" spans="1:25">
      <c r="A9" s="54" t="str">
        <f>Servers!A9:A16</f>
        <v>AutoTest-x64sql</v>
      </c>
      <c r="B9" s="60" t="s">
        <v>247</v>
      </c>
      <c r="C9" t="s">
        <v>21</v>
      </c>
      <c r="D9">
        <v>3</v>
      </c>
      <c r="E9" s="54" t="s">
        <v>223</v>
      </c>
      <c r="F9">
        <v>10</v>
      </c>
      <c r="G9">
        <v>2</v>
      </c>
      <c r="H9" t="s">
        <v>175</v>
      </c>
      <c r="I9" t="s">
        <v>176</v>
      </c>
      <c r="J9" s="54" t="s">
        <v>224</v>
      </c>
      <c r="K9">
        <v>5</v>
      </c>
      <c r="L9">
        <v>3</v>
      </c>
      <c r="M9" t="s">
        <v>177</v>
      </c>
      <c r="N9" t="s">
        <v>178</v>
      </c>
      <c r="O9" s="54" t="s">
        <v>225</v>
      </c>
      <c r="P9">
        <v>5</v>
      </c>
      <c r="Q9">
        <v>4</v>
      </c>
      <c r="R9" t="s">
        <v>179</v>
      </c>
      <c r="S9" t="s">
        <v>180</v>
      </c>
    </row>
    <row r="10" spans="1:25">
      <c r="A10" s="54" t="str">
        <f>Servers!A10:A17</f>
        <v>AutoTest-win2k</v>
      </c>
      <c r="B10" s="60" t="s">
        <v>242</v>
      </c>
      <c r="C10" t="s">
        <v>21</v>
      </c>
      <c r="D10">
        <v>1</v>
      </c>
      <c r="E10" s="54" t="s">
        <v>222</v>
      </c>
      <c r="F10">
        <v>10</v>
      </c>
      <c r="G10">
        <v>2</v>
      </c>
      <c r="H10" t="s">
        <v>175</v>
      </c>
      <c r="I10" t="s">
        <v>176</v>
      </c>
    </row>
    <row r="11" spans="1:25">
      <c r="A11" s="5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26"/>
  <sheetViews>
    <sheetView workbookViewId="0">
      <selection activeCell="J19" sqref="J19"/>
    </sheetView>
  </sheetViews>
  <sheetFormatPr defaultRowHeight="15"/>
  <cols>
    <col min="1" max="1" width="15.42578125" bestFit="1" customWidth="1"/>
    <col min="2" max="2" width="15.42578125" customWidth="1"/>
  </cols>
  <sheetData>
    <row r="1" spans="1:10" ht="26.25">
      <c r="A1" s="1" t="s">
        <v>1</v>
      </c>
      <c r="B1" s="1" t="s">
        <v>14</v>
      </c>
      <c r="C1" s="1" t="s">
        <v>54</v>
      </c>
      <c r="D1" s="1" t="s">
        <v>56</v>
      </c>
      <c r="E1" s="1" t="s">
        <v>55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61</v>
      </c>
    </row>
    <row r="4" spans="1:10">
      <c r="A4" s="14"/>
    </row>
    <row r="5" spans="1:10">
      <c r="A5" s="14"/>
    </row>
    <row r="6" spans="1:10">
      <c r="A6" s="14"/>
    </row>
    <row r="7" spans="1:10">
      <c r="A7" s="14"/>
    </row>
    <row r="8" spans="1:10">
      <c r="A8" s="14"/>
    </row>
    <row r="9" spans="1:10">
      <c r="A9" s="14"/>
    </row>
    <row r="10" spans="1:10">
      <c r="A10" s="14"/>
    </row>
    <row r="11" spans="1:10">
      <c r="A11" s="14"/>
    </row>
    <row r="12" spans="1:10">
      <c r="A12" s="14"/>
    </row>
    <row r="13" spans="1:10">
      <c r="A13" s="14"/>
    </row>
    <row r="14" spans="1:10">
      <c r="A14" s="14"/>
    </row>
    <row r="15" spans="1:10">
      <c r="A15" s="14"/>
    </row>
    <row r="16" spans="1:10">
      <c r="A16" s="14"/>
    </row>
    <row r="17" spans="1:1">
      <c r="A17" s="14"/>
    </row>
    <row r="18" spans="1:1">
      <c r="A18" s="14"/>
    </row>
    <row r="19" spans="1:1">
      <c r="A19" s="14"/>
    </row>
    <row r="20" spans="1:1">
      <c r="A20" s="14"/>
    </row>
    <row r="21" spans="1:1">
      <c r="A21" s="14"/>
    </row>
    <row r="22" spans="1:1">
      <c r="A22" s="14"/>
    </row>
    <row r="23" spans="1:1">
      <c r="A23" s="14"/>
    </row>
    <row r="24" spans="1:1">
      <c r="A24" s="14"/>
    </row>
    <row r="25" spans="1:1">
      <c r="A25" s="14"/>
    </row>
    <row r="26" spans="1:1">
      <c r="A26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Z79"/>
  <sheetViews>
    <sheetView topLeftCell="D1" workbookViewId="0">
      <selection activeCell="B9" sqref="B9"/>
    </sheetView>
  </sheetViews>
  <sheetFormatPr defaultRowHeight="15"/>
  <cols>
    <col min="1" max="1" width="15.42578125" bestFit="1" customWidth="1"/>
    <col min="2" max="2" width="15.42578125" style="54" customWidth="1"/>
    <col min="3" max="9" width="15.42578125" customWidth="1"/>
    <col min="11" max="12" width="12.7109375" customWidth="1"/>
    <col min="13" max="16" width="16.5703125" customWidth="1"/>
    <col min="19" max="19" width="8.28515625" customWidth="1"/>
    <col min="20" max="20" width="9" bestFit="1" customWidth="1"/>
  </cols>
  <sheetData>
    <row r="1" spans="1:26" ht="51.75">
      <c r="A1" s="1" t="s">
        <v>1</v>
      </c>
      <c r="B1" s="59" t="s">
        <v>241</v>
      </c>
      <c r="C1" s="57" t="s">
        <v>14</v>
      </c>
      <c r="D1" s="1" t="s">
        <v>91</v>
      </c>
      <c r="E1" s="1" t="s">
        <v>92</v>
      </c>
      <c r="F1" s="1" t="s">
        <v>93</v>
      </c>
      <c r="G1" s="1" t="s">
        <v>94</v>
      </c>
      <c r="H1" s="1" t="s">
        <v>95</v>
      </c>
      <c r="I1" s="1" t="s">
        <v>96</v>
      </c>
      <c r="J1" s="57" t="s">
        <v>74</v>
      </c>
      <c r="K1" s="1" t="s">
        <v>75</v>
      </c>
      <c r="L1" s="1" t="s">
        <v>76</v>
      </c>
      <c r="M1" s="1" t="s">
        <v>77</v>
      </c>
      <c r="N1" s="1" t="s">
        <v>78</v>
      </c>
      <c r="O1" s="1" t="s">
        <v>79</v>
      </c>
      <c r="P1" s="1" t="s">
        <v>81</v>
      </c>
      <c r="Q1" s="1" t="s">
        <v>80</v>
      </c>
      <c r="R1" s="1" t="s">
        <v>82</v>
      </c>
      <c r="S1" s="1" t="s">
        <v>83</v>
      </c>
      <c r="T1" s="1" t="s">
        <v>84</v>
      </c>
      <c r="U1" s="1" t="s">
        <v>85</v>
      </c>
      <c r="V1" s="1" t="s">
        <v>86</v>
      </c>
      <c r="W1" s="1" t="s">
        <v>87</v>
      </c>
      <c r="X1" s="1" t="s">
        <v>88</v>
      </c>
      <c r="Y1" s="1" t="s">
        <v>89</v>
      </c>
      <c r="Z1" s="1" t="s">
        <v>90</v>
      </c>
    </row>
    <row r="2" spans="1:26">
      <c r="M2" s="9"/>
      <c r="N2" s="9"/>
      <c r="O2" s="9"/>
      <c r="P2" s="9"/>
    </row>
    <row r="3" spans="1:26">
      <c r="A3" t="str">
        <f>Servers!A3:A10</f>
        <v>Oracle</v>
      </c>
      <c r="K3" s="6"/>
      <c r="L3" s="6"/>
      <c r="M3" s="10"/>
      <c r="N3" s="10"/>
      <c r="O3" s="10"/>
      <c r="P3" s="10"/>
    </row>
    <row r="4" spans="1:26">
      <c r="A4" s="54" t="str">
        <f>Servers!A4:A11</f>
        <v>AutoTest-oracle1</v>
      </c>
      <c r="B4" s="60" t="s">
        <v>247</v>
      </c>
      <c r="C4" t="s">
        <v>99</v>
      </c>
      <c r="D4" t="s">
        <v>106</v>
      </c>
      <c r="E4" t="s">
        <v>184</v>
      </c>
      <c r="F4" t="s">
        <v>20</v>
      </c>
      <c r="G4" t="s">
        <v>188</v>
      </c>
      <c r="H4" t="s">
        <v>189</v>
      </c>
      <c r="I4" t="s">
        <v>190</v>
      </c>
      <c r="J4">
        <v>1</v>
      </c>
      <c r="K4" s="54" t="s">
        <v>107</v>
      </c>
      <c r="L4" s="9" t="s">
        <v>36</v>
      </c>
      <c r="M4" s="10" t="s">
        <v>155</v>
      </c>
      <c r="N4" s="10" t="s">
        <v>20</v>
      </c>
    </row>
    <row r="5" spans="1:26">
      <c r="A5" s="54" t="str">
        <f>Servers!A5:A12</f>
        <v>AutoTest-oracle2</v>
      </c>
      <c r="B5" s="60" t="s">
        <v>247</v>
      </c>
      <c r="C5" t="s">
        <v>99</v>
      </c>
      <c r="D5" t="s">
        <v>106</v>
      </c>
      <c r="E5" t="s">
        <v>185</v>
      </c>
      <c r="F5" t="s">
        <v>20</v>
      </c>
      <c r="G5" s="54" t="s">
        <v>188</v>
      </c>
      <c r="H5" s="54" t="s">
        <v>189</v>
      </c>
      <c r="I5" s="54" t="s">
        <v>190</v>
      </c>
      <c r="J5">
        <v>1</v>
      </c>
      <c r="K5" s="54" t="s">
        <v>107</v>
      </c>
      <c r="L5" s="9" t="s">
        <v>36</v>
      </c>
      <c r="M5" s="10" t="s">
        <v>191</v>
      </c>
      <c r="N5" s="10" t="s">
        <v>20</v>
      </c>
      <c r="O5" s="10"/>
      <c r="P5" s="10"/>
    </row>
    <row r="6" spans="1:26">
      <c r="A6" s="54"/>
      <c r="B6" s="60"/>
      <c r="K6" s="6"/>
      <c r="L6" s="6"/>
      <c r="M6" s="10"/>
      <c r="N6" s="10"/>
      <c r="O6" s="10"/>
      <c r="P6" s="10"/>
    </row>
    <row r="7" spans="1:26">
      <c r="A7" s="54" t="str">
        <f>Servers!A7:A14</f>
        <v>Win</v>
      </c>
      <c r="B7" s="60"/>
      <c r="K7" s="6"/>
      <c r="L7" s="6"/>
      <c r="M7" s="10"/>
      <c r="N7" s="10"/>
      <c r="O7" s="10"/>
      <c r="P7" s="10"/>
    </row>
    <row r="8" spans="1:26">
      <c r="A8" s="54" t="str">
        <f>Servers!A8:A15</f>
        <v>AutoTest-win2k3</v>
      </c>
      <c r="B8" s="60" t="s">
        <v>242</v>
      </c>
      <c r="C8" t="s">
        <v>21</v>
      </c>
      <c r="D8" t="s">
        <v>183</v>
      </c>
      <c r="E8" t="s">
        <v>186</v>
      </c>
      <c r="F8" t="s">
        <v>20</v>
      </c>
      <c r="G8" s="54" t="s">
        <v>188</v>
      </c>
      <c r="H8" s="54" t="s">
        <v>189</v>
      </c>
      <c r="I8" s="54" t="s">
        <v>190</v>
      </c>
      <c r="J8">
        <v>0</v>
      </c>
      <c r="K8" s="6"/>
      <c r="L8" s="9"/>
      <c r="M8" s="10"/>
      <c r="N8" s="10"/>
      <c r="O8" s="10"/>
      <c r="P8" s="9"/>
    </row>
    <row r="9" spans="1:26">
      <c r="A9" s="54" t="str">
        <f>Servers!A9:A16</f>
        <v>AutoTest-x64sql</v>
      </c>
      <c r="B9" s="60" t="s">
        <v>247</v>
      </c>
      <c r="C9" t="s">
        <v>21</v>
      </c>
      <c r="D9" t="s">
        <v>183</v>
      </c>
      <c r="E9" s="54" t="s">
        <v>187</v>
      </c>
      <c r="F9" t="s">
        <v>20</v>
      </c>
      <c r="G9" s="54" t="s">
        <v>188</v>
      </c>
      <c r="H9" s="54" t="s">
        <v>189</v>
      </c>
      <c r="I9" s="54" t="s">
        <v>190</v>
      </c>
      <c r="J9">
        <v>1</v>
      </c>
      <c r="K9" s="6" t="s">
        <v>192</v>
      </c>
      <c r="L9" s="54" t="s">
        <v>19</v>
      </c>
      <c r="M9" s="10" t="s">
        <v>193</v>
      </c>
      <c r="N9" s="6" t="s">
        <v>20</v>
      </c>
      <c r="O9" s="6"/>
      <c r="P9" s="6"/>
    </row>
    <row r="10" spans="1:26">
      <c r="A10" s="54" t="str">
        <f>Servers!A10:A17</f>
        <v>AutoTest-win2k</v>
      </c>
      <c r="B10" s="60" t="s">
        <v>242</v>
      </c>
      <c r="C10" t="s">
        <v>21</v>
      </c>
      <c r="D10" t="s">
        <v>183</v>
      </c>
      <c r="E10" s="54" t="s">
        <v>238</v>
      </c>
      <c r="F10" t="s">
        <v>20</v>
      </c>
      <c r="G10" s="54" t="s">
        <v>188</v>
      </c>
      <c r="H10" s="54" t="s">
        <v>189</v>
      </c>
      <c r="I10" s="54" t="s">
        <v>190</v>
      </c>
      <c r="J10">
        <v>1</v>
      </c>
      <c r="K10" s="55" t="s">
        <v>192</v>
      </c>
      <c r="L10" s="54" t="s">
        <v>19</v>
      </c>
      <c r="M10" s="10" t="s">
        <v>194</v>
      </c>
      <c r="N10" s="55" t="s">
        <v>20</v>
      </c>
      <c r="O10" s="12"/>
      <c r="P10" s="12"/>
    </row>
    <row r="11" spans="1:26">
      <c r="L11" s="9"/>
      <c r="M11" s="10"/>
      <c r="N11" s="10"/>
      <c r="O11" s="10"/>
      <c r="P11" s="10"/>
    </row>
    <row r="12" spans="1:26">
      <c r="K12" s="6"/>
      <c r="L12" s="6"/>
      <c r="M12" s="6"/>
      <c r="N12" s="6"/>
      <c r="O12" s="6"/>
      <c r="P12" s="6"/>
    </row>
    <row r="13" spans="1:26">
      <c r="K13" s="6"/>
      <c r="L13" s="6"/>
      <c r="M13" s="6"/>
      <c r="N13" s="6"/>
      <c r="O13" s="6"/>
      <c r="P13" s="6"/>
    </row>
    <row r="14" spans="1:26">
      <c r="K14" s="6"/>
      <c r="L14" s="6"/>
      <c r="M14" s="6"/>
      <c r="N14" s="6"/>
      <c r="O14" s="6"/>
      <c r="P14" s="6"/>
    </row>
    <row r="15" spans="1:26">
      <c r="K15" s="6"/>
      <c r="L15" s="6"/>
      <c r="M15" s="6"/>
      <c r="N15" s="6"/>
      <c r="O15" s="6"/>
      <c r="P15" s="6"/>
    </row>
    <row r="16" spans="1:26">
      <c r="K16" s="6"/>
      <c r="L16" s="6"/>
      <c r="M16" s="6"/>
      <c r="N16" s="6"/>
      <c r="O16" s="6"/>
      <c r="P16" s="6"/>
    </row>
    <row r="17" spans="11:16">
      <c r="K17" s="6"/>
      <c r="L17" s="6"/>
      <c r="M17" s="6"/>
      <c r="N17" s="6"/>
      <c r="O17" s="6"/>
      <c r="P17" s="6"/>
    </row>
    <row r="18" spans="11:16">
      <c r="K18" s="6"/>
      <c r="L18" s="6"/>
      <c r="M18" s="6"/>
      <c r="N18" s="6"/>
      <c r="O18" s="6"/>
      <c r="P18" s="6"/>
    </row>
    <row r="19" spans="11:16">
      <c r="K19" s="6"/>
      <c r="L19" s="6"/>
      <c r="M19" s="6"/>
      <c r="N19" s="6"/>
      <c r="O19" s="6"/>
      <c r="P19" s="6"/>
    </row>
    <row r="20" spans="11:16">
      <c r="K20" s="6"/>
      <c r="L20" s="6"/>
      <c r="M20" s="6"/>
      <c r="N20" s="6"/>
      <c r="O20" s="6"/>
      <c r="P20" s="6"/>
    </row>
    <row r="21" spans="11:16">
      <c r="K21" s="6"/>
      <c r="L21" s="6"/>
      <c r="M21" s="6"/>
      <c r="N21" s="6"/>
      <c r="O21" s="6"/>
      <c r="P21" s="6"/>
    </row>
    <row r="22" spans="11:16">
      <c r="K22" s="6"/>
      <c r="L22" s="6"/>
      <c r="M22" s="6"/>
      <c r="N22" s="6"/>
      <c r="O22" s="6"/>
      <c r="P22" s="6"/>
    </row>
    <row r="23" spans="11:16">
      <c r="K23" s="6"/>
      <c r="L23" s="6"/>
      <c r="M23" s="13"/>
      <c r="N23" s="13"/>
      <c r="O23" s="13"/>
      <c r="P23" s="13"/>
    </row>
    <row r="24" spans="11:16">
      <c r="K24" s="6"/>
      <c r="L24" s="6"/>
      <c r="M24" s="6"/>
      <c r="N24" s="6"/>
      <c r="O24" s="6"/>
      <c r="P24" s="6"/>
    </row>
    <row r="25" spans="11:16">
      <c r="K25" s="6"/>
      <c r="L25" s="6"/>
      <c r="M25" s="6"/>
      <c r="N25" s="6"/>
      <c r="O25" s="6"/>
      <c r="P25" s="6"/>
    </row>
    <row r="26" spans="11:16">
      <c r="K26" s="6"/>
      <c r="L26" s="6"/>
      <c r="M26" s="13"/>
      <c r="N26" s="13"/>
      <c r="O26" s="13"/>
      <c r="P26" s="13"/>
    </row>
    <row r="27" spans="11:16">
      <c r="K27" s="6"/>
      <c r="L27" s="6"/>
      <c r="M27" s="6"/>
      <c r="N27" s="6"/>
      <c r="O27" s="6"/>
      <c r="P27" s="6"/>
    </row>
    <row r="28" spans="11:16">
      <c r="K28" s="6"/>
      <c r="L28" s="6"/>
      <c r="M28" s="6"/>
      <c r="N28" s="6"/>
      <c r="O28" s="6"/>
      <c r="P28" s="6"/>
    </row>
    <row r="29" spans="11:16">
      <c r="K29" s="6"/>
      <c r="L29" s="6"/>
      <c r="M29" s="6"/>
      <c r="N29" s="6"/>
      <c r="O29" s="6"/>
      <c r="P29" s="6"/>
    </row>
    <row r="30" spans="11:16">
      <c r="K30" s="6"/>
      <c r="L30" s="6"/>
      <c r="M30" s="6"/>
      <c r="N30" s="6"/>
      <c r="O30" s="6"/>
      <c r="P30" s="6"/>
    </row>
    <row r="31" spans="11:16">
      <c r="K31" s="6"/>
      <c r="L31" s="6"/>
      <c r="M31" s="6"/>
      <c r="N31" s="6"/>
      <c r="O31" s="6"/>
      <c r="P31" s="6"/>
    </row>
    <row r="32" spans="11:16">
      <c r="K32" s="6"/>
      <c r="L32" s="6"/>
      <c r="M32" s="7"/>
      <c r="N32" s="7"/>
      <c r="O32" s="7"/>
      <c r="P32" s="7"/>
    </row>
    <row r="33" spans="11:16">
      <c r="K33" s="6"/>
      <c r="L33" s="6"/>
      <c r="M33" s="6"/>
      <c r="N33" s="6"/>
      <c r="O33" s="6"/>
      <c r="P33" s="6"/>
    </row>
    <row r="34" spans="11:16">
      <c r="K34" s="12"/>
      <c r="L34" s="12"/>
      <c r="M34" s="12"/>
      <c r="N34" s="12"/>
      <c r="O34" s="12"/>
      <c r="P34" s="12"/>
    </row>
    <row r="35" spans="11:16">
      <c r="K35" s="6"/>
      <c r="L35" s="6"/>
      <c r="M35" s="6"/>
      <c r="N35" s="6"/>
      <c r="O35" s="6"/>
      <c r="P35" s="6"/>
    </row>
    <row r="36" spans="11:16">
      <c r="K36" s="6"/>
      <c r="L36" s="6"/>
      <c r="M36" s="6"/>
      <c r="N36" s="6"/>
      <c r="O36" s="6"/>
      <c r="P36" s="6"/>
    </row>
    <row r="37" spans="11:16">
      <c r="K37" s="6"/>
      <c r="L37" s="6"/>
      <c r="M37" s="6"/>
      <c r="N37" s="6"/>
      <c r="O37" s="6"/>
      <c r="P37" s="6"/>
    </row>
    <row r="38" spans="11:16">
      <c r="K38" s="6"/>
      <c r="L38" s="6"/>
      <c r="M38" s="6"/>
      <c r="N38" s="6"/>
      <c r="O38" s="6"/>
      <c r="P38" s="6"/>
    </row>
    <row r="39" spans="11:16">
      <c r="K39" s="7"/>
      <c r="L39" s="7"/>
      <c r="M39" s="7"/>
      <c r="N39" s="7"/>
      <c r="O39" s="7"/>
      <c r="P39" s="7"/>
    </row>
    <row r="40" spans="11:16">
      <c r="K40" s="12"/>
      <c r="L40" s="12"/>
      <c r="M40" s="12"/>
      <c r="N40" s="12"/>
      <c r="O40" s="12"/>
      <c r="P40" s="12"/>
    </row>
    <row r="41" spans="11:16">
      <c r="K41" s="6"/>
      <c r="L41" s="6"/>
      <c r="M41" s="6"/>
      <c r="N41" s="6"/>
      <c r="O41" s="6"/>
      <c r="P41" s="6"/>
    </row>
    <row r="42" spans="11:16">
      <c r="K42" s="6"/>
      <c r="L42" s="6"/>
      <c r="M42" s="6"/>
      <c r="N42" s="6"/>
      <c r="O42" s="6"/>
      <c r="P42" s="6"/>
    </row>
    <row r="43" spans="11:16">
      <c r="K43" s="6"/>
      <c r="L43" s="6"/>
      <c r="M43" s="6"/>
      <c r="N43" s="6"/>
      <c r="O43" s="6"/>
      <c r="P43" s="6"/>
    </row>
    <row r="44" spans="11:16">
      <c r="K44" s="6"/>
      <c r="L44" s="6"/>
      <c r="M44" s="6"/>
      <c r="N44" s="6"/>
      <c r="O44" s="6"/>
      <c r="P44" s="6"/>
    </row>
    <row r="45" spans="11:16">
      <c r="K45" s="7"/>
      <c r="L45" s="7"/>
      <c r="M45" s="7"/>
      <c r="N45" s="7"/>
      <c r="O45" s="7"/>
      <c r="P45" s="7"/>
    </row>
    <row r="46" spans="11:16">
      <c r="K46" s="12"/>
      <c r="L46" s="12"/>
      <c r="M46" s="12"/>
      <c r="N46" s="12"/>
      <c r="O46" s="12"/>
      <c r="P46" s="12"/>
    </row>
    <row r="47" spans="11:16">
      <c r="K47" s="6"/>
      <c r="L47" s="6"/>
      <c r="M47" s="7"/>
      <c r="N47" s="7"/>
      <c r="O47" s="7"/>
      <c r="P47" s="7"/>
    </row>
    <row r="48" spans="11:16">
      <c r="K48" s="6"/>
      <c r="L48" s="6"/>
      <c r="M48" s="7"/>
      <c r="N48" s="7"/>
      <c r="O48" s="7"/>
      <c r="P48" s="7"/>
    </row>
    <row r="49" spans="11:16">
      <c r="K49" s="7"/>
      <c r="L49" s="7"/>
      <c r="M49" s="7"/>
      <c r="N49" s="7"/>
      <c r="O49" s="7"/>
      <c r="P49" s="7"/>
    </row>
    <row r="50" spans="11:16">
      <c r="K50" s="12"/>
      <c r="L50" s="12"/>
      <c r="M50" s="12"/>
      <c r="N50" s="12"/>
      <c r="O50" s="12"/>
      <c r="P50" s="12"/>
    </row>
    <row r="51" spans="11:16">
      <c r="K51" s="11"/>
      <c r="L51" s="11"/>
      <c r="M51" s="7"/>
      <c r="N51" s="7"/>
      <c r="O51" s="7"/>
      <c r="P51" s="7"/>
    </row>
    <row r="52" spans="11:16">
      <c r="K52" s="11"/>
      <c r="L52" s="11"/>
      <c r="M52" s="7"/>
      <c r="N52" s="7"/>
      <c r="O52" s="7"/>
      <c r="P52" s="7"/>
    </row>
    <row r="53" spans="11:16">
      <c r="K53" s="11"/>
      <c r="L53" s="11"/>
      <c r="M53" s="7"/>
      <c r="N53" s="7"/>
      <c r="O53" s="7"/>
      <c r="P53" s="7"/>
    </row>
    <row r="54" spans="11:16">
      <c r="K54" s="11"/>
      <c r="L54" s="11"/>
      <c r="M54" s="7"/>
      <c r="N54" s="7"/>
      <c r="O54" s="7"/>
      <c r="P54" s="7"/>
    </row>
    <row r="55" spans="11:16">
      <c r="K55" s="11"/>
      <c r="L55" s="11"/>
      <c r="M55" s="7"/>
      <c r="N55" s="7"/>
      <c r="O55" s="7"/>
      <c r="P55" s="7"/>
    </row>
    <row r="56" spans="11:16">
      <c r="K56" s="7"/>
      <c r="L56" s="7"/>
      <c r="M56" s="7"/>
      <c r="N56" s="7"/>
      <c r="O56" s="7"/>
      <c r="P56" s="7"/>
    </row>
    <row r="57" spans="11:16">
      <c r="K57" s="12"/>
      <c r="L57" s="12"/>
      <c r="M57" s="12"/>
      <c r="N57" s="12"/>
      <c r="O57" s="12"/>
      <c r="P57" s="12"/>
    </row>
    <row r="58" spans="11:16">
      <c r="K58" s="7"/>
      <c r="L58" s="7"/>
      <c r="M58" s="7"/>
      <c r="N58" s="7"/>
      <c r="O58" s="7"/>
      <c r="P58" s="7"/>
    </row>
    <row r="59" spans="11:16">
      <c r="K59" s="7"/>
      <c r="L59" s="7"/>
      <c r="M59" s="7"/>
      <c r="N59" s="7"/>
      <c r="O59" s="7"/>
      <c r="P59" s="7"/>
    </row>
    <row r="60" spans="11:16">
      <c r="K60" s="12"/>
      <c r="L60" s="12"/>
      <c r="M60" s="12"/>
      <c r="N60" s="12"/>
      <c r="O60" s="12"/>
      <c r="P60" s="12"/>
    </row>
    <row r="61" spans="11:16">
      <c r="K61" s="6"/>
      <c r="L61" s="6"/>
      <c r="M61" s="10"/>
      <c r="N61" s="10"/>
      <c r="O61" s="10"/>
      <c r="P61" s="10"/>
    </row>
    <row r="62" spans="11:16">
      <c r="K62" s="6"/>
      <c r="L62" s="6"/>
      <c r="M62" s="10"/>
      <c r="N62" s="10"/>
      <c r="O62" s="10"/>
      <c r="P62" s="10"/>
    </row>
    <row r="63" spans="11:16">
      <c r="K63" s="6"/>
      <c r="L63" s="6"/>
      <c r="M63" s="10"/>
      <c r="N63" s="10"/>
      <c r="O63" s="10"/>
      <c r="P63" s="10"/>
    </row>
    <row r="64" spans="11:16">
      <c r="K64" s="6"/>
      <c r="L64" s="6"/>
      <c r="M64" s="10"/>
      <c r="N64" s="10"/>
      <c r="O64" s="10"/>
      <c r="P64" s="10"/>
    </row>
    <row r="65" spans="11:16">
      <c r="K65" s="6"/>
      <c r="L65" s="6"/>
      <c r="M65" s="10"/>
      <c r="N65" s="10"/>
      <c r="O65" s="10"/>
      <c r="P65" s="10"/>
    </row>
    <row r="66" spans="11:16">
      <c r="K66" s="6"/>
      <c r="L66" s="6"/>
      <c r="M66" s="10"/>
      <c r="N66" s="10"/>
      <c r="O66" s="10"/>
      <c r="P66" s="10"/>
    </row>
    <row r="67" spans="11:16">
      <c r="K67" s="6"/>
      <c r="L67" s="6"/>
      <c r="M67" s="10"/>
      <c r="N67" s="10"/>
      <c r="O67" s="10"/>
      <c r="P67" s="10"/>
    </row>
    <row r="68" spans="11:16">
      <c r="K68" s="6"/>
      <c r="L68" s="6"/>
      <c r="M68" s="10"/>
      <c r="N68" s="10"/>
      <c r="O68" s="10"/>
      <c r="P68" s="10"/>
    </row>
    <row r="69" spans="11:16">
      <c r="K69" s="6"/>
      <c r="L69" s="6"/>
      <c r="M69" s="10"/>
      <c r="N69" s="10"/>
      <c r="O69" s="10"/>
      <c r="P69" s="10"/>
    </row>
    <row r="70" spans="11:16">
      <c r="K70" s="6"/>
      <c r="L70" s="6"/>
      <c r="M70" s="10"/>
      <c r="N70" s="10"/>
      <c r="O70" s="10"/>
      <c r="P70" s="10"/>
    </row>
    <row r="71" spans="11:16">
      <c r="K71" s="6"/>
      <c r="L71" s="6"/>
      <c r="M71" s="10"/>
      <c r="N71" s="10"/>
      <c r="O71" s="10"/>
      <c r="P71" s="10"/>
    </row>
    <row r="72" spans="11:16">
      <c r="K72" s="6"/>
      <c r="L72" s="6"/>
      <c r="M72" s="10"/>
      <c r="N72" s="10"/>
      <c r="O72" s="10"/>
      <c r="P72" s="10"/>
    </row>
    <row r="73" spans="11:16">
      <c r="K73" s="6"/>
      <c r="L73" s="6"/>
      <c r="M73" s="10"/>
      <c r="N73" s="10"/>
      <c r="O73" s="10"/>
      <c r="P73" s="10"/>
    </row>
    <row r="74" spans="11:16">
      <c r="K74" s="6"/>
      <c r="L74" s="6"/>
      <c r="M74" s="10"/>
      <c r="N74" s="10"/>
      <c r="O74" s="10"/>
      <c r="P74" s="10"/>
    </row>
    <row r="75" spans="11:16">
      <c r="K75" s="6"/>
      <c r="L75" s="6"/>
      <c r="M75" s="10"/>
      <c r="N75" s="10"/>
      <c r="O75" s="10"/>
      <c r="P75" s="10"/>
    </row>
    <row r="76" spans="11:16">
      <c r="K76" s="6"/>
      <c r="L76" s="6"/>
      <c r="M76" s="10"/>
      <c r="N76" s="10"/>
      <c r="O76" s="10"/>
      <c r="P76" s="10"/>
    </row>
    <row r="77" spans="11:16">
      <c r="K77" s="6"/>
      <c r="L77" s="6"/>
      <c r="M77" s="10"/>
      <c r="N77" s="10"/>
      <c r="O77" s="10"/>
      <c r="P77" s="10"/>
    </row>
    <row r="78" spans="11:16">
      <c r="K78" s="9"/>
      <c r="L78" s="9"/>
      <c r="M78" s="9"/>
      <c r="N78" s="9"/>
      <c r="O78" s="9"/>
      <c r="P78" s="9"/>
    </row>
    <row r="79" spans="11:16">
      <c r="K79" s="9"/>
      <c r="L79" s="9"/>
      <c r="M79" s="9"/>
      <c r="N79" s="9"/>
      <c r="O79" s="9"/>
      <c r="P79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I10"/>
  <sheetViews>
    <sheetView workbookViewId="0">
      <selection activeCell="B9" sqref="B9"/>
    </sheetView>
  </sheetViews>
  <sheetFormatPr defaultRowHeight="15"/>
  <cols>
    <col min="1" max="1" width="15.42578125" bestFit="1" customWidth="1"/>
    <col min="2" max="2" width="15.42578125" style="54" customWidth="1"/>
    <col min="3" max="3" width="15.42578125" customWidth="1"/>
    <col min="4" max="4" width="11.42578125" customWidth="1"/>
    <col min="5" max="5" width="23.5703125" bestFit="1" customWidth="1"/>
    <col min="6" max="9" width="11.42578125" customWidth="1"/>
  </cols>
  <sheetData>
    <row r="1" spans="1:9" ht="39">
      <c r="A1" s="1" t="s">
        <v>1</v>
      </c>
      <c r="B1" s="59" t="s">
        <v>241</v>
      </c>
      <c r="C1" s="57" t="s">
        <v>14</v>
      </c>
      <c r="D1" s="57" t="s">
        <v>38</v>
      </c>
      <c r="E1" s="1" t="s">
        <v>17</v>
      </c>
      <c r="F1" s="1" t="s">
        <v>37</v>
      </c>
      <c r="G1" s="1" t="s">
        <v>67</v>
      </c>
      <c r="H1" s="1" t="s">
        <v>62</v>
      </c>
      <c r="I1" s="1" t="s">
        <v>49</v>
      </c>
    </row>
    <row r="3" spans="1:9">
      <c r="A3" t="str">
        <f>Servers!A3:A10</f>
        <v>Oracle</v>
      </c>
    </row>
    <row r="4" spans="1:9">
      <c r="A4" s="54" t="str">
        <f>Servers!A4:A11</f>
        <v>AutoTest-oracle1</v>
      </c>
      <c r="B4" s="60" t="s">
        <v>247</v>
      </c>
      <c r="C4" t="s">
        <v>99</v>
      </c>
      <c r="D4" t="s">
        <v>26</v>
      </c>
      <c r="E4" s="54" t="s">
        <v>226</v>
      </c>
      <c r="F4">
        <f>Servers!M4*1.5</f>
        <v>768</v>
      </c>
      <c r="G4" t="s">
        <v>104</v>
      </c>
    </row>
    <row r="5" spans="1:9">
      <c r="A5" s="54" t="str">
        <f>Servers!A5:A12</f>
        <v>AutoTest-oracle2</v>
      </c>
      <c r="B5" s="60" t="s">
        <v>247</v>
      </c>
      <c r="C5" t="s">
        <v>99</v>
      </c>
      <c r="D5" t="s">
        <v>26</v>
      </c>
      <c r="E5" s="54" t="s">
        <v>226</v>
      </c>
      <c r="F5" s="54">
        <f>Servers!M5*1.5</f>
        <v>1536</v>
      </c>
      <c r="G5" t="s">
        <v>104</v>
      </c>
    </row>
    <row r="6" spans="1:9">
      <c r="A6" s="54"/>
      <c r="B6" s="60"/>
      <c r="F6" s="54"/>
    </row>
    <row r="7" spans="1:9">
      <c r="A7" s="54" t="str">
        <f>Servers!A7:A14</f>
        <v>Win</v>
      </c>
      <c r="B7" s="60"/>
      <c r="F7" s="54"/>
    </row>
    <row r="8" spans="1:9">
      <c r="A8" s="54" t="str">
        <f>Servers!A8:A15</f>
        <v>AutoTest-win2k3</v>
      </c>
      <c r="B8" s="60" t="s">
        <v>242</v>
      </c>
      <c r="C8" t="s">
        <v>21</v>
      </c>
      <c r="D8" t="s">
        <v>26</v>
      </c>
      <c r="E8" s="54" t="s">
        <v>226</v>
      </c>
      <c r="F8" s="54">
        <v>2048</v>
      </c>
      <c r="G8">
        <v>1</v>
      </c>
      <c r="H8" t="s">
        <v>181</v>
      </c>
      <c r="I8" t="s">
        <v>182</v>
      </c>
    </row>
    <row r="9" spans="1:9">
      <c r="A9" s="54" t="str">
        <f>Servers!A9:A16</f>
        <v>AutoTest-x64sql</v>
      </c>
      <c r="B9" s="60" t="s">
        <v>247</v>
      </c>
      <c r="C9" t="s">
        <v>21</v>
      </c>
      <c r="D9" t="s">
        <v>26</v>
      </c>
      <c r="E9" s="54" t="s">
        <v>226</v>
      </c>
      <c r="F9" s="54">
        <f>Servers!M9*1.5</f>
        <v>3072</v>
      </c>
      <c r="G9">
        <v>1</v>
      </c>
      <c r="H9" t="s">
        <v>181</v>
      </c>
      <c r="I9" t="s">
        <v>182</v>
      </c>
    </row>
    <row r="10" spans="1:9">
      <c r="A10" s="54" t="str">
        <f>Servers!A10:A17</f>
        <v>AutoTest-win2k</v>
      </c>
      <c r="B10" s="60" t="s">
        <v>242</v>
      </c>
      <c r="C10" t="s">
        <v>21</v>
      </c>
      <c r="D10" t="s">
        <v>26</v>
      </c>
      <c r="E10" s="54" t="s">
        <v>226</v>
      </c>
      <c r="F10" s="54">
        <f>Servers!M10*1.5</f>
        <v>1536</v>
      </c>
      <c r="G10">
        <v>1</v>
      </c>
      <c r="H10" t="s">
        <v>181</v>
      </c>
      <c r="I10" t="s">
        <v>182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1"/>
  <sheetViews>
    <sheetView workbookViewId="0">
      <selection activeCell="B9" sqref="B9"/>
    </sheetView>
  </sheetViews>
  <sheetFormatPr defaultRowHeight="15"/>
  <cols>
    <col min="1" max="1" width="15.42578125" bestFit="1" customWidth="1"/>
    <col min="2" max="2" width="15.42578125" style="54" customWidth="1"/>
    <col min="3" max="3" width="15.42578125" customWidth="1"/>
    <col min="5" max="5" width="14.5703125" bestFit="1" customWidth="1"/>
    <col min="7" max="7" width="9.140625" style="54"/>
    <col min="9" max="9" width="11.42578125" bestFit="1" customWidth="1"/>
  </cols>
  <sheetData>
    <row r="1" spans="1:9" ht="26.25">
      <c r="A1" s="1" t="s">
        <v>1</v>
      </c>
      <c r="B1" s="59" t="s">
        <v>241</v>
      </c>
      <c r="C1" s="1" t="s">
        <v>14</v>
      </c>
      <c r="D1" s="57" t="s">
        <v>27</v>
      </c>
      <c r="E1" s="1" t="s">
        <v>25</v>
      </c>
      <c r="F1" s="57" t="s">
        <v>124</v>
      </c>
      <c r="G1" s="62" t="s">
        <v>244</v>
      </c>
      <c r="H1" s="57" t="s">
        <v>245</v>
      </c>
      <c r="I1" s="53" t="s">
        <v>246</v>
      </c>
    </row>
    <row r="3" spans="1:9">
      <c r="A3" t="str">
        <f>Servers!A3</f>
        <v>Oracle</v>
      </c>
    </row>
    <row r="4" spans="1:9">
      <c r="A4" s="54" t="str">
        <f>Servers!A4</f>
        <v>AutoTest-oracle1</v>
      </c>
      <c r="B4" s="60" t="s">
        <v>247</v>
      </c>
      <c r="C4" t="s">
        <v>99</v>
      </c>
      <c r="F4" t="s">
        <v>144</v>
      </c>
      <c r="H4" t="s">
        <v>144</v>
      </c>
    </row>
    <row r="5" spans="1:9">
      <c r="A5" s="54" t="str">
        <f>Servers!A5</f>
        <v>AutoTest-oracle2</v>
      </c>
      <c r="B5" s="60" t="s">
        <v>247</v>
      </c>
      <c r="C5" s="54" t="s">
        <v>99</v>
      </c>
      <c r="D5" s="54"/>
      <c r="E5" s="54"/>
      <c r="F5" s="54" t="s">
        <v>144</v>
      </c>
      <c r="H5" s="54" t="s">
        <v>144</v>
      </c>
    </row>
    <row r="6" spans="1:9">
      <c r="A6" s="54"/>
      <c r="B6" s="60"/>
    </row>
    <row r="7" spans="1:9">
      <c r="A7" s="54" t="str">
        <f>Servers!A7</f>
        <v>Win</v>
      </c>
      <c r="B7" s="60"/>
    </row>
    <row r="8" spans="1:9">
      <c r="A8" s="54" t="str">
        <f>Servers!A8</f>
        <v>AutoTest-win2k3</v>
      </c>
      <c r="B8" s="60" t="s">
        <v>242</v>
      </c>
      <c r="C8" t="s">
        <v>21</v>
      </c>
      <c r="D8" t="s">
        <v>201</v>
      </c>
      <c r="E8" s="54" t="s">
        <v>240</v>
      </c>
      <c r="F8" s="54" t="s">
        <v>144</v>
      </c>
      <c r="H8" s="54" t="s">
        <v>144</v>
      </c>
    </row>
    <row r="9" spans="1:9">
      <c r="A9" s="54" t="str">
        <f>Servers!A9</f>
        <v>AutoTest-x64sql</v>
      </c>
      <c r="B9" s="60" t="s">
        <v>247</v>
      </c>
      <c r="C9" t="s">
        <v>21</v>
      </c>
      <c r="D9" t="s">
        <v>201</v>
      </c>
      <c r="E9" s="54" t="s">
        <v>240</v>
      </c>
      <c r="F9" s="54" t="s">
        <v>144</v>
      </c>
      <c r="H9" s="54" t="s">
        <v>144</v>
      </c>
    </row>
    <row r="10" spans="1:9">
      <c r="A10" s="54" t="str">
        <f>Servers!A10</f>
        <v>AutoTest-win2k</v>
      </c>
      <c r="B10" s="60" t="s">
        <v>242</v>
      </c>
      <c r="C10" t="s">
        <v>21</v>
      </c>
      <c r="D10" t="s">
        <v>201</v>
      </c>
      <c r="E10" s="54" t="s">
        <v>240</v>
      </c>
      <c r="F10" s="54" t="s">
        <v>144</v>
      </c>
      <c r="H10" s="54" t="s">
        <v>144</v>
      </c>
    </row>
    <row r="11" spans="1:9">
      <c r="E11" s="5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R10"/>
  <sheetViews>
    <sheetView workbookViewId="0">
      <selection activeCell="B1" sqref="B1"/>
    </sheetView>
  </sheetViews>
  <sheetFormatPr defaultRowHeight="15"/>
  <cols>
    <col min="1" max="1" width="28.85546875" bestFit="1" customWidth="1"/>
    <col min="2" max="2" width="16.85546875" style="54" customWidth="1"/>
    <col min="3" max="3" width="15.85546875" bestFit="1" customWidth="1"/>
    <col min="4" max="4" width="20.85546875" bestFit="1" customWidth="1"/>
    <col min="5" max="5" width="12.42578125" bestFit="1" customWidth="1"/>
    <col min="6" max="6" width="16.28515625" bestFit="1" customWidth="1"/>
    <col min="7" max="7" width="11.28515625" bestFit="1" customWidth="1"/>
    <col min="8" max="8" width="11.7109375" bestFit="1" customWidth="1"/>
    <col min="9" max="9" width="17.5703125" bestFit="1" customWidth="1"/>
    <col min="10" max="10" width="11.140625" bestFit="1" customWidth="1"/>
    <col min="11" max="11" width="8" bestFit="1" customWidth="1"/>
    <col min="13" max="13" width="19" bestFit="1" customWidth="1"/>
    <col min="14" max="14" width="63.7109375" bestFit="1" customWidth="1"/>
    <col min="15" max="15" width="12" bestFit="1" customWidth="1"/>
    <col min="16" max="16" width="18.140625" bestFit="1" customWidth="1"/>
    <col min="17" max="17" width="98.5703125" bestFit="1" customWidth="1"/>
    <col min="18" max="18" width="23.85546875" bestFit="1" customWidth="1"/>
  </cols>
  <sheetData>
    <row r="1" spans="1:18" ht="27.75" customHeight="1">
      <c r="A1" s="52" t="s">
        <v>136</v>
      </c>
      <c r="B1" s="59" t="s">
        <v>241</v>
      </c>
      <c r="C1" s="58" t="s">
        <v>146</v>
      </c>
      <c r="D1" s="58" t="s">
        <v>125</v>
      </c>
      <c r="E1" s="53" t="s">
        <v>126</v>
      </c>
      <c r="F1" s="53" t="s">
        <v>127</v>
      </c>
      <c r="G1" s="58" t="s">
        <v>128</v>
      </c>
      <c r="H1" s="53" t="s">
        <v>129</v>
      </c>
      <c r="I1" s="53" t="s">
        <v>150</v>
      </c>
      <c r="J1" s="53" t="s">
        <v>130</v>
      </c>
      <c r="K1" s="53" t="s">
        <v>143</v>
      </c>
      <c r="L1" s="53" t="s">
        <v>142</v>
      </c>
      <c r="M1" s="53" t="s">
        <v>145</v>
      </c>
      <c r="N1" s="53" t="s">
        <v>131</v>
      </c>
      <c r="O1" s="53" t="s">
        <v>132</v>
      </c>
      <c r="P1" s="53" t="s">
        <v>133</v>
      </c>
      <c r="Q1" s="53" t="s">
        <v>134</v>
      </c>
      <c r="R1" s="53" t="s">
        <v>148</v>
      </c>
    </row>
    <row r="2" spans="1:18">
      <c r="A2" s="54" t="s">
        <v>227</v>
      </c>
      <c r="B2" s="60" t="s">
        <v>242</v>
      </c>
      <c r="C2" t="s">
        <v>156</v>
      </c>
      <c r="D2">
        <v>10</v>
      </c>
      <c r="E2">
        <v>20</v>
      </c>
      <c r="F2">
        <f>ROUNDUP((D2/(100-E2))*100,0)</f>
        <v>13</v>
      </c>
      <c r="G2" t="s">
        <v>97</v>
      </c>
      <c r="H2" t="s">
        <v>138</v>
      </c>
      <c r="I2" t="s">
        <v>149</v>
      </c>
      <c r="J2" t="s">
        <v>137</v>
      </c>
      <c r="K2" t="s">
        <v>144</v>
      </c>
      <c r="M2" s="54" t="s">
        <v>228</v>
      </c>
      <c r="N2" t="s">
        <v>195</v>
      </c>
      <c r="O2" t="s">
        <v>164</v>
      </c>
      <c r="P2" t="s">
        <v>135</v>
      </c>
      <c r="Q2" t="str">
        <f>I2&amp;":/vol/"&amp;A2&amp;" "&amp;O2&amp;" nfs "&amp;P2</f>
        <v>192.168.20.247:/vol/v_AutoTest_oracle1 /oracle1 nfs rw,bg,hard,nointr,tcp,vers=3,timeo=600,rsize=32768,wsize=32768 0 0</v>
      </c>
    </row>
    <row r="3" spans="1:18" s="54" customFormat="1">
      <c r="A3" s="54" t="s">
        <v>229</v>
      </c>
      <c r="B3" s="60" t="s">
        <v>242</v>
      </c>
      <c r="C3" s="54" t="s">
        <v>156</v>
      </c>
      <c r="D3" s="54">
        <v>5</v>
      </c>
      <c r="E3" s="54">
        <v>20</v>
      </c>
      <c r="F3" s="54">
        <f t="shared" ref="F3:F6" si="0">ROUNDUP((D3/(100-E3))*100,0)</f>
        <v>7</v>
      </c>
      <c r="G3" s="54" t="s">
        <v>97</v>
      </c>
      <c r="H3" s="54" t="s">
        <v>138</v>
      </c>
      <c r="I3" s="54" t="s">
        <v>149</v>
      </c>
      <c r="J3" s="54" t="s">
        <v>137</v>
      </c>
      <c r="K3" s="54" t="s">
        <v>144</v>
      </c>
      <c r="M3" s="54" t="s">
        <v>216</v>
      </c>
      <c r="N3" s="54" t="s">
        <v>155</v>
      </c>
      <c r="O3" s="54" t="s">
        <v>165</v>
      </c>
      <c r="P3" s="54" t="s">
        <v>135</v>
      </c>
      <c r="Q3" s="54" t="str">
        <f>I3&amp;":/vol/"&amp;A3&amp;" "&amp;O3&amp;" nfs "&amp;P3</f>
        <v>192.168.20.247:/vol/v_AutoTest_oracle2 /oracle2 nfs rw,bg,hard,nointr,tcp,vers=3,timeo=600,rsize=32768,wsize=32768 0 0</v>
      </c>
    </row>
    <row r="4" spans="1:18" s="54" customFormat="1">
      <c r="A4" s="54" t="s">
        <v>230</v>
      </c>
      <c r="B4" s="60" t="s">
        <v>242</v>
      </c>
      <c r="C4" s="54" t="s">
        <v>156</v>
      </c>
      <c r="D4" s="54">
        <v>3</v>
      </c>
      <c r="E4" s="54">
        <v>20</v>
      </c>
      <c r="F4" s="54">
        <f t="shared" si="0"/>
        <v>4</v>
      </c>
      <c r="G4" s="54" t="s">
        <v>97</v>
      </c>
      <c r="H4" s="54" t="s">
        <v>138</v>
      </c>
      <c r="I4" s="54" t="s">
        <v>149</v>
      </c>
      <c r="J4" s="54" t="s">
        <v>137</v>
      </c>
      <c r="K4" s="54" t="s">
        <v>144</v>
      </c>
      <c r="M4" s="54" t="s">
        <v>218</v>
      </c>
      <c r="N4" s="54" t="s">
        <v>191</v>
      </c>
      <c r="O4" s="54" t="s">
        <v>166</v>
      </c>
      <c r="P4" s="54" t="s">
        <v>135</v>
      </c>
      <c r="Q4" s="54" t="str">
        <f>I4&amp;":/vol/"&amp;A4&amp;" "&amp;O4&amp;" nfs "&amp;P4</f>
        <v>192.168.20.247:/vol/v_AutoTest_oracle3 /oracle3 nfs rw,bg,hard,nointr,tcp,vers=3,timeo=600,rsize=32768,wsize=32768 0 0</v>
      </c>
    </row>
    <row r="5" spans="1:18">
      <c r="A5" s="54" t="s">
        <v>231</v>
      </c>
      <c r="B5" s="60" t="s">
        <v>242</v>
      </c>
      <c r="C5" t="s">
        <v>147</v>
      </c>
      <c r="D5">
        <v>100</v>
      </c>
      <c r="E5">
        <v>0</v>
      </c>
      <c r="F5" s="54">
        <f t="shared" si="0"/>
        <v>100</v>
      </c>
      <c r="G5" t="s">
        <v>97</v>
      </c>
      <c r="H5" t="s">
        <v>162</v>
      </c>
      <c r="I5" t="s">
        <v>163</v>
      </c>
      <c r="J5" t="s">
        <v>137</v>
      </c>
      <c r="K5" t="s">
        <v>26</v>
      </c>
      <c r="L5">
        <v>1</v>
      </c>
      <c r="M5" s="54" t="s">
        <v>196</v>
      </c>
      <c r="N5" t="s">
        <v>167</v>
      </c>
      <c r="R5" s="54" t="s">
        <v>217</v>
      </c>
    </row>
    <row r="6" spans="1:18" s="54" customFormat="1">
      <c r="A6" s="54" t="s">
        <v>232</v>
      </c>
      <c r="B6" s="60" t="s">
        <v>242</v>
      </c>
      <c r="C6" s="54" t="s">
        <v>147</v>
      </c>
      <c r="D6" s="54">
        <v>50</v>
      </c>
      <c r="E6" s="54">
        <v>0</v>
      </c>
      <c r="F6" s="54">
        <f t="shared" si="0"/>
        <v>50</v>
      </c>
      <c r="G6" s="54" t="s">
        <v>97</v>
      </c>
      <c r="H6" s="54" t="s">
        <v>162</v>
      </c>
      <c r="I6" s="54" t="s">
        <v>163</v>
      </c>
      <c r="J6" s="54" t="s">
        <v>137</v>
      </c>
      <c r="K6" s="54" t="s">
        <v>144</v>
      </c>
      <c r="M6" s="54" t="s">
        <v>196</v>
      </c>
      <c r="N6" s="54" t="s">
        <v>167</v>
      </c>
      <c r="R6" s="54" t="s">
        <v>226</v>
      </c>
    </row>
    <row r="7" spans="1:18" s="54" customFormat="1">
      <c r="A7" s="54" t="s">
        <v>233</v>
      </c>
      <c r="B7" s="60" t="s">
        <v>242</v>
      </c>
      <c r="C7" s="54" t="s">
        <v>147</v>
      </c>
      <c r="D7" s="54">
        <v>20</v>
      </c>
      <c r="E7" s="54">
        <v>0</v>
      </c>
      <c r="F7" s="54">
        <f t="shared" ref="F7" si="1">ROUNDUP((D7/(100-E7))*100,0)</f>
        <v>20</v>
      </c>
      <c r="G7" s="54" t="s">
        <v>97</v>
      </c>
      <c r="H7" s="54" t="s">
        <v>162</v>
      </c>
      <c r="I7" s="54" t="s">
        <v>163</v>
      </c>
      <c r="J7" s="54" t="s">
        <v>137</v>
      </c>
      <c r="K7" s="54" t="s">
        <v>144</v>
      </c>
      <c r="M7" s="54" t="s">
        <v>196</v>
      </c>
      <c r="N7" s="54" t="s">
        <v>167</v>
      </c>
      <c r="R7" s="54" t="s">
        <v>223</v>
      </c>
    </row>
    <row r="8" spans="1:18" s="54" customFormat="1">
      <c r="A8" s="54" t="s">
        <v>234</v>
      </c>
      <c r="B8" s="60" t="s">
        <v>242</v>
      </c>
      <c r="C8" s="54" t="s">
        <v>147</v>
      </c>
      <c r="D8" s="54">
        <v>10</v>
      </c>
      <c r="E8" s="54">
        <v>0</v>
      </c>
      <c r="F8" s="54">
        <f t="shared" ref="F8:F10" si="2">ROUNDUP((D8/(100-E8))*100,0)</f>
        <v>10</v>
      </c>
      <c r="G8" s="54" t="s">
        <v>97</v>
      </c>
      <c r="H8" s="54" t="s">
        <v>162</v>
      </c>
      <c r="I8" s="54" t="s">
        <v>163</v>
      </c>
      <c r="J8" s="54" t="s">
        <v>137</v>
      </c>
      <c r="K8" s="54" t="s">
        <v>144</v>
      </c>
      <c r="M8" s="54" t="s">
        <v>196</v>
      </c>
      <c r="N8" s="54" t="s">
        <v>167</v>
      </c>
      <c r="R8" s="54" t="s">
        <v>224</v>
      </c>
    </row>
    <row r="9" spans="1:18" s="54" customFormat="1">
      <c r="A9" s="54" t="s">
        <v>235</v>
      </c>
      <c r="B9" s="60" t="s">
        <v>242</v>
      </c>
      <c r="C9" s="54" t="s">
        <v>147</v>
      </c>
      <c r="D9" s="54">
        <v>10</v>
      </c>
      <c r="E9" s="54">
        <v>0</v>
      </c>
      <c r="F9" s="54">
        <f t="shared" si="2"/>
        <v>10</v>
      </c>
      <c r="G9" s="54" t="s">
        <v>97</v>
      </c>
      <c r="H9" s="54" t="s">
        <v>162</v>
      </c>
      <c r="I9" s="54" t="s">
        <v>163</v>
      </c>
      <c r="J9" s="54" t="s">
        <v>137</v>
      </c>
      <c r="K9" s="54" t="s">
        <v>144</v>
      </c>
      <c r="M9" s="54" t="s">
        <v>196</v>
      </c>
      <c r="N9" s="54" t="s">
        <v>167</v>
      </c>
      <c r="R9" s="54" t="s">
        <v>236</v>
      </c>
    </row>
    <row r="10" spans="1:18" s="54" customFormat="1">
      <c r="A10" s="54" t="s">
        <v>237</v>
      </c>
      <c r="B10" s="60" t="s">
        <v>242</v>
      </c>
      <c r="C10" s="54" t="s">
        <v>147</v>
      </c>
      <c r="D10" s="54">
        <v>15</v>
      </c>
      <c r="E10" s="54">
        <v>0</v>
      </c>
      <c r="F10" s="54">
        <f t="shared" si="2"/>
        <v>15</v>
      </c>
      <c r="G10" s="54" t="s">
        <v>97</v>
      </c>
      <c r="H10" s="54" t="s">
        <v>162</v>
      </c>
      <c r="I10" s="54" t="s">
        <v>163</v>
      </c>
      <c r="J10" s="54" t="s">
        <v>137</v>
      </c>
      <c r="K10" s="54" t="s">
        <v>26</v>
      </c>
      <c r="L10" s="54">
        <v>2</v>
      </c>
      <c r="M10" s="54" t="s">
        <v>196</v>
      </c>
      <c r="N10" s="54" t="s">
        <v>167</v>
      </c>
      <c r="R10" s="54" t="s">
        <v>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Buttons</vt:lpstr>
      <vt:lpstr>Constants</vt:lpstr>
      <vt:lpstr>Servers</vt:lpstr>
      <vt:lpstr>Disks</vt:lpstr>
      <vt:lpstr>Clones</vt:lpstr>
      <vt:lpstr>Network</vt:lpstr>
      <vt:lpstr>PageFile</vt:lpstr>
      <vt:lpstr>Other</vt:lpstr>
      <vt:lpstr>NetappVols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Giuliano, Peter</cp:lastModifiedBy>
  <dcterms:created xsi:type="dcterms:W3CDTF">2011-02-03T09:11:26Z</dcterms:created>
  <dcterms:modified xsi:type="dcterms:W3CDTF">2011-05-05T10:50:02Z</dcterms:modified>
</cp:coreProperties>
</file>